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ka/Downloads/Winter_Project_Anika_2024/"/>
    </mc:Choice>
  </mc:AlternateContent>
  <xr:revisionPtr revIDLastSave="0" documentId="8_{5C13CCCA-CD8E-1842-8F6A-3D8DB108F764}" xr6:coauthVersionLast="47" xr6:coauthVersionMax="47" xr10:uidLastSave="{00000000-0000-0000-0000-000000000000}"/>
  <bookViews>
    <workbookView xWindow="540" yWindow="680" windowWidth="25060" windowHeight="15960" xr2:uid="{767A79B1-B391-074D-B0A5-2939717DBB35}"/>
  </bookViews>
  <sheets>
    <sheet name="Summary_plot" sheetId="1" r:id="rId1"/>
    <sheet name="Gas" sheetId="13" r:id="rId2"/>
    <sheet name="Cereals&amp;Bakery" sheetId="2" r:id="rId3"/>
    <sheet name="NonAlcoholic" sheetId="3" r:id="rId4"/>
    <sheet name="Dairy" sheetId="4" r:id="rId5"/>
    <sheet name="Limited Time Service Meal" sheetId="5" r:id="rId6"/>
    <sheet name="Other Food" sheetId="6" r:id="rId7"/>
    <sheet name="Food&amp;Beverage" sheetId="7" r:id="rId8"/>
    <sheet name="Food at Home" sheetId="8" r:id="rId9"/>
    <sheet name="Fruits&amp;Veg" sheetId="9" r:id="rId10"/>
    <sheet name="Food Away from Home" sheetId="10" r:id="rId11"/>
    <sheet name="Full Service Meal" sheetId="11" r:id="rId12"/>
    <sheet name="Meat&amp;Poultry" sheetId="12" r:id="rId13"/>
  </sheets>
  <externalReferences>
    <externalReference r:id="rId14"/>
    <externalReference r:id="rId15"/>
    <externalReference r:id="rId16"/>
  </externalReferences>
  <definedNames>
    <definedName name="_xlchart.v1.0" hidden="1">'[1]BLS Data Series'!$A$13:$A$23</definedName>
    <definedName name="_xlchart.v1.1" hidden="1">'[1]BLS Data Series'!$P$13:$P$23</definedName>
    <definedName name="_xlchart.v1.10" hidden="1">'Food&amp;Beverage'!$A$2:$A$12</definedName>
    <definedName name="_xlchart.v1.100" hidden="1">'[1]BLS Data Series'!$A$13:$A$23</definedName>
    <definedName name="_xlchart.v1.101" hidden="1">'[1]BLS Data Series'!$P$13:$P$23</definedName>
    <definedName name="_xlchart.v1.102" hidden="1">'[2]BLS Data Series'!$A$2:$A$12</definedName>
    <definedName name="_xlchart.v1.103" hidden="1">'[2]BLS Data Series'!$P$2:$P$12</definedName>
    <definedName name="_xlchart.v1.104" hidden="1">'[3]BLS Data Series'!$A$13:$A$23</definedName>
    <definedName name="_xlchart.v1.105" hidden="1">'[3]BLS Data Series'!$P$13:$P$23</definedName>
    <definedName name="_xlchart.v1.106" hidden="1">'Food Away from Home'!$A$2:$A$12</definedName>
    <definedName name="_xlchart.v1.107" hidden="1">'Food Away from Home'!$P$2:$P$12</definedName>
    <definedName name="_xlchart.v1.108" hidden="1">'Food at Home'!$A$2:$A$14</definedName>
    <definedName name="_xlchart.v1.109" hidden="1">'Food at Home'!$P$2:$P$12</definedName>
    <definedName name="_xlchart.v1.11" hidden="1">'Food&amp;Beverage'!$P$2:$P$12</definedName>
    <definedName name="_xlchart.v1.110" hidden="1">'Food&amp;Beverage'!$A$2:$A$12</definedName>
    <definedName name="_xlchart.v1.111" hidden="1">'Food&amp;Beverage'!$P$2:$P$12</definedName>
    <definedName name="_xlchart.v1.112" hidden="1">'Fruits&amp;Veg'!$A$2:$A$12</definedName>
    <definedName name="_xlchart.v1.113" hidden="1">'Fruits&amp;Veg'!$P$2:$P$12</definedName>
    <definedName name="_xlchart.v1.114" hidden="1">'Limited Time Service Meal'!$A$2:$A$12</definedName>
    <definedName name="_xlchart.v1.115" hidden="1">'Limited Time Service Meal'!$P$2:$P$12</definedName>
    <definedName name="_xlchart.v1.116" hidden="1">'Meat&amp;Poultry'!$A$2:$A$12</definedName>
    <definedName name="_xlchart.v1.117" hidden="1">'Meat&amp;Poultry'!$P$2:$P$12</definedName>
    <definedName name="_xlchart.v1.118" hidden="1">'Other Food'!$A$2:$A$12</definedName>
    <definedName name="_xlchart.v1.119" hidden="1">'Other Food'!$P$2:$P$12</definedName>
    <definedName name="_xlchart.v1.12" hidden="1">'Fruits&amp;Veg'!$A$2:$A$12</definedName>
    <definedName name="_xlchart.v1.120" hidden="1">'[1]BLS Data Series'!$A$13:$A$23</definedName>
    <definedName name="_xlchart.v1.121" hidden="1">'[1]BLS Data Series'!$P$13:$P$23</definedName>
    <definedName name="_xlchart.v1.122" hidden="1">'[2]BLS Data Series'!$A$2:$A$12</definedName>
    <definedName name="_xlchart.v1.123" hidden="1">'[2]BLS Data Series'!$P$2:$P$12</definedName>
    <definedName name="_xlchart.v1.124" hidden="1">'[3]BLS Data Series'!$A$13:$A$23</definedName>
    <definedName name="_xlchart.v1.125" hidden="1">'[3]BLS Data Series'!$P$13:$P$23</definedName>
    <definedName name="_xlchart.v1.126" hidden="1">'Food Away from Home'!$A$2:$A$12</definedName>
    <definedName name="_xlchart.v1.127" hidden="1">'Food Away from Home'!$P$2:$P$12</definedName>
    <definedName name="_xlchart.v1.128" hidden="1">'Food at Home'!$A$2:$A$14</definedName>
    <definedName name="_xlchart.v1.129" hidden="1">'Food at Home'!$P$2:$P$12</definedName>
    <definedName name="_xlchart.v1.13" hidden="1">'Fruits&amp;Veg'!$P$2:$P$12</definedName>
    <definedName name="_xlchart.v1.130" hidden="1">'Food&amp;Beverage'!$A$2:$A$12</definedName>
    <definedName name="_xlchart.v1.131" hidden="1">'Food&amp;Beverage'!$P$2:$P$12</definedName>
    <definedName name="_xlchart.v1.132" hidden="1">'Fruits&amp;Veg'!$A$2:$A$12</definedName>
    <definedName name="_xlchart.v1.133" hidden="1">'Fruits&amp;Veg'!$P$2:$P$12</definedName>
    <definedName name="_xlchart.v1.134" hidden="1">'Limited Time Service Meal'!$A$2:$A$12</definedName>
    <definedName name="_xlchart.v1.135" hidden="1">'Limited Time Service Meal'!$P$2:$P$12</definedName>
    <definedName name="_xlchart.v1.136" hidden="1">'Meat&amp;Poultry'!$A$2:$A$12</definedName>
    <definedName name="_xlchart.v1.137" hidden="1">'Meat&amp;Poultry'!$P$2:$P$12</definedName>
    <definedName name="_xlchart.v1.138" hidden="1">'Other Food'!$A$2:$A$12</definedName>
    <definedName name="_xlchart.v1.139" hidden="1">'Other Food'!$P$2:$P$12</definedName>
    <definedName name="_xlchart.v1.14" hidden="1">'Limited Time Service Meal'!$A$2:$A$12</definedName>
    <definedName name="_xlchart.v1.140" hidden="1">'[1]BLS Data Series'!$A$13:$A$23</definedName>
    <definedName name="_xlchart.v1.141" hidden="1">'[1]BLS Data Series'!$P$13:$P$23</definedName>
    <definedName name="_xlchart.v1.142" hidden="1">'[2]BLS Data Series'!$A$2:$A$12</definedName>
    <definedName name="_xlchart.v1.143" hidden="1">'[2]BLS Data Series'!$P$2:$P$12</definedName>
    <definedName name="_xlchart.v1.144" hidden="1">'[3]BLS Data Series'!$A$13:$A$23</definedName>
    <definedName name="_xlchart.v1.145" hidden="1">'[3]BLS Data Series'!$P$13:$P$23</definedName>
    <definedName name="_xlchart.v1.146" hidden="1">'Food Away from Home'!$A$2:$A$12</definedName>
    <definedName name="_xlchart.v1.147" hidden="1">'Food Away from Home'!$P$2:$P$12</definedName>
    <definedName name="_xlchart.v1.148" hidden="1">'Food at Home'!$A$2:$A$14</definedName>
    <definedName name="_xlchart.v1.149" hidden="1">'Food at Home'!$P$2:$P$12</definedName>
    <definedName name="_xlchart.v1.15" hidden="1">'Limited Time Service Meal'!$P$2:$P$12</definedName>
    <definedName name="_xlchart.v1.150" hidden="1">'Food&amp;Beverage'!$A$2:$A$12</definedName>
    <definedName name="_xlchart.v1.151" hidden="1">'Food&amp;Beverage'!$P$2:$P$12</definedName>
    <definedName name="_xlchart.v1.152" hidden="1">'Fruits&amp;Veg'!$A$2:$A$12</definedName>
    <definedName name="_xlchart.v1.153" hidden="1">'Fruits&amp;Veg'!$P$2:$P$12</definedName>
    <definedName name="_xlchart.v1.154" hidden="1">'Limited Time Service Meal'!$A$2:$A$12</definedName>
    <definedName name="_xlchart.v1.155" hidden="1">'Limited Time Service Meal'!$P$2:$P$12</definedName>
    <definedName name="_xlchart.v1.156" hidden="1">'Meat&amp;Poultry'!$A$2:$A$12</definedName>
    <definedName name="_xlchart.v1.157" hidden="1">'Meat&amp;Poultry'!$P$2:$P$12</definedName>
    <definedName name="_xlchart.v1.158" hidden="1">'Other Food'!$A$2:$A$12</definedName>
    <definedName name="_xlchart.v1.159" hidden="1">'Other Food'!$P$2:$P$12</definedName>
    <definedName name="_xlchart.v1.16" hidden="1">'Meat&amp;Poultry'!$A$2:$A$12</definedName>
    <definedName name="_xlchart.v1.17" hidden="1">'Meat&amp;Poultry'!$P$2:$P$12</definedName>
    <definedName name="_xlchart.v1.18" hidden="1">'Other Food'!$A$2:$A$12</definedName>
    <definedName name="_xlchart.v1.19" hidden="1">'Other Food'!$P$2:$P$12</definedName>
    <definedName name="_xlchart.v1.2" hidden="1">'[2]BLS Data Series'!$A$2:$A$12</definedName>
    <definedName name="_xlchart.v1.20" hidden="1">'[1]BLS Data Series'!$A$13:$A$23</definedName>
    <definedName name="_xlchart.v1.21" hidden="1">'[1]BLS Data Series'!$P$13:$P$23</definedName>
    <definedName name="_xlchart.v1.22" hidden="1">'[2]BLS Data Series'!$A$2:$A$12</definedName>
    <definedName name="_xlchart.v1.23" hidden="1">'[2]BLS Data Series'!$P$2:$P$12</definedName>
    <definedName name="_xlchart.v1.24" hidden="1">'[3]BLS Data Series'!$A$13:$A$23</definedName>
    <definedName name="_xlchart.v1.25" hidden="1">'[3]BLS Data Series'!$P$13:$P$23</definedName>
    <definedName name="_xlchart.v1.26" hidden="1">'Food Away from Home'!$A$2:$A$12</definedName>
    <definedName name="_xlchart.v1.27" hidden="1">'Food Away from Home'!$P$2:$P$12</definedName>
    <definedName name="_xlchart.v1.28" hidden="1">'Food at Home'!$A$2:$A$14</definedName>
    <definedName name="_xlchart.v1.29" hidden="1">'Food at Home'!$P$2:$P$12</definedName>
    <definedName name="_xlchart.v1.3" hidden="1">'[2]BLS Data Series'!$P$2:$P$12</definedName>
    <definedName name="_xlchart.v1.30" hidden="1">'Food&amp;Beverage'!$A$2:$A$12</definedName>
    <definedName name="_xlchart.v1.31" hidden="1">'Food&amp;Beverage'!$P$2:$P$12</definedName>
    <definedName name="_xlchart.v1.32" hidden="1">'Fruits&amp;Veg'!$A$2:$A$12</definedName>
    <definedName name="_xlchart.v1.33" hidden="1">'Fruits&amp;Veg'!$P$2:$P$12</definedName>
    <definedName name="_xlchart.v1.34" hidden="1">'Limited Time Service Meal'!$A$2:$A$12</definedName>
    <definedName name="_xlchart.v1.35" hidden="1">'Limited Time Service Meal'!$P$2:$P$12</definedName>
    <definedName name="_xlchart.v1.36" hidden="1">'Meat&amp;Poultry'!$A$2:$A$12</definedName>
    <definedName name="_xlchart.v1.37" hidden="1">'Meat&amp;Poultry'!$P$2:$P$12</definedName>
    <definedName name="_xlchart.v1.38" hidden="1">'Other Food'!$A$2:$A$12</definedName>
    <definedName name="_xlchart.v1.39" hidden="1">'Other Food'!$P$2:$P$12</definedName>
    <definedName name="_xlchart.v1.4" hidden="1">'[3]BLS Data Series'!$A$13:$A$23</definedName>
    <definedName name="_xlchart.v1.40" hidden="1">'[1]BLS Data Series'!$A$13:$A$23</definedName>
    <definedName name="_xlchart.v1.41" hidden="1">'[1]BLS Data Series'!$P$13:$P$23</definedName>
    <definedName name="_xlchart.v1.42" hidden="1">'[2]BLS Data Series'!$A$2:$A$12</definedName>
    <definedName name="_xlchart.v1.43" hidden="1">'[2]BLS Data Series'!$P$2:$P$12</definedName>
    <definedName name="_xlchart.v1.44" hidden="1">'[3]BLS Data Series'!$A$13:$A$23</definedName>
    <definedName name="_xlchart.v1.45" hidden="1">'[3]BLS Data Series'!$P$13:$P$23</definedName>
    <definedName name="_xlchart.v1.46" hidden="1">'Food Away from Home'!$A$2:$A$12</definedName>
    <definedName name="_xlchart.v1.47" hidden="1">'Food Away from Home'!$P$2:$P$12</definedName>
    <definedName name="_xlchart.v1.48" hidden="1">'Food at Home'!$A$2:$A$14</definedName>
    <definedName name="_xlchart.v1.49" hidden="1">'Food at Home'!$P$2:$P$12</definedName>
    <definedName name="_xlchart.v1.5" hidden="1">'[3]BLS Data Series'!$P$13:$P$23</definedName>
    <definedName name="_xlchart.v1.50" hidden="1">'Food&amp;Beverage'!$A$2:$A$12</definedName>
    <definedName name="_xlchart.v1.51" hidden="1">'Food&amp;Beverage'!$P$2:$P$12</definedName>
    <definedName name="_xlchart.v1.52" hidden="1">'Fruits&amp;Veg'!$A$2:$A$12</definedName>
    <definedName name="_xlchart.v1.53" hidden="1">'Fruits&amp;Veg'!$P$2:$P$12</definedName>
    <definedName name="_xlchart.v1.54" hidden="1">'Limited Time Service Meal'!$A$2:$A$12</definedName>
    <definedName name="_xlchart.v1.55" hidden="1">'Limited Time Service Meal'!$P$2:$P$12</definedName>
    <definedName name="_xlchart.v1.56" hidden="1">'Meat&amp;Poultry'!$A$2:$A$12</definedName>
    <definedName name="_xlchart.v1.57" hidden="1">'Meat&amp;Poultry'!$P$2:$P$12</definedName>
    <definedName name="_xlchart.v1.58" hidden="1">'Other Food'!$A$2:$A$12</definedName>
    <definedName name="_xlchart.v1.59" hidden="1">'Other Food'!$P$2:$P$12</definedName>
    <definedName name="_xlchart.v1.6" hidden="1">'Food Away from Home'!$A$2:$A$12</definedName>
    <definedName name="_xlchart.v1.60" hidden="1">'[1]BLS Data Series'!$A$13:$A$23</definedName>
    <definedName name="_xlchart.v1.61" hidden="1">'[1]BLS Data Series'!$P$13:$P$23</definedName>
    <definedName name="_xlchart.v1.62" hidden="1">'[2]BLS Data Series'!$A$2:$A$12</definedName>
    <definedName name="_xlchart.v1.63" hidden="1">'[2]BLS Data Series'!$P$2:$P$12</definedName>
    <definedName name="_xlchart.v1.64" hidden="1">'[3]BLS Data Series'!$A$13:$A$23</definedName>
    <definedName name="_xlchart.v1.65" hidden="1">'[3]BLS Data Series'!$P$13:$P$23</definedName>
    <definedName name="_xlchart.v1.66" hidden="1">'Food Away from Home'!$A$2:$A$12</definedName>
    <definedName name="_xlchart.v1.67" hidden="1">'Food Away from Home'!$P$2:$P$12</definedName>
    <definedName name="_xlchart.v1.68" hidden="1">'Food at Home'!$A$2:$A$14</definedName>
    <definedName name="_xlchart.v1.69" hidden="1">'Food at Home'!$P$2:$P$12</definedName>
    <definedName name="_xlchart.v1.7" hidden="1">'Food Away from Home'!$P$2:$P$12</definedName>
    <definedName name="_xlchart.v1.70" hidden="1">'Food&amp;Beverage'!$A$2:$A$12</definedName>
    <definedName name="_xlchart.v1.71" hidden="1">'Food&amp;Beverage'!$P$2:$P$12</definedName>
    <definedName name="_xlchart.v1.72" hidden="1">'Fruits&amp;Veg'!$A$2:$A$12</definedName>
    <definedName name="_xlchart.v1.73" hidden="1">'Fruits&amp;Veg'!$P$2:$P$12</definedName>
    <definedName name="_xlchart.v1.74" hidden="1">'Limited Time Service Meal'!$A$2:$A$12</definedName>
    <definedName name="_xlchart.v1.75" hidden="1">'Limited Time Service Meal'!$P$2:$P$12</definedName>
    <definedName name="_xlchart.v1.76" hidden="1">'Meat&amp;Poultry'!$A$2:$A$12</definedName>
    <definedName name="_xlchart.v1.77" hidden="1">'Meat&amp;Poultry'!$P$2:$P$12</definedName>
    <definedName name="_xlchart.v1.78" hidden="1">'Other Food'!$A$2:$A$12</definedName>
    <definedName name="_xlchart.v1.79" hidden="1">'Other Food'!$P$2:$P$12</definedName>
    <definedName name="_xlchart.v1.8" hidden="1">'Food at Home'!$A$2:$A$14</definedName>
    <definedName name="_xlchart.v1.80" hidden="1">'[1]BLS Data Series'!$A$13:$A$23</definedName>
    <definedName name="_xlchart.v1.81" hidden="1">'[1]BLS Data Series'!$P$13:$P$23</definedName>
    <definedName name="_xlchart.v1.82" hidden="1">'[2]BLS Data Series'!$A$2:$A$12</definedName>
    <definedName name="_xlchart.v1.83" hidden="1">'[2]BLS Data Series'!$P$2:$P$12</definedName>
    <definedName name="_xlchart.v1.84" hidden="1">'[3]BLS Data Series'!$A$13:$A$23</definedName>
    <definedName name="_xlchart.v1.85" hidden="1">'[3]BLS Data Series'!$P$13:$P$23</definedName>
    <definedName name="_xlchart.v1.86" hidden="1">'Food Away from Home'!$A$2:$A$12</definedName>
    <definedName name="_xlchart.v1.87" hidden="1">'Food Away from Home'!$P$2:$P$12</definedName>
    <definedName name="_xlchart.v1.88" hidden="1">'Food at Home'!$A$2:$A$14</definedName>
    <definedName name="_xlchart.v1.89" hidden="1">'Food at Home'!$P$2:$P$12</definedName>
    <definedName name="_xlchart.v1.9" hidden="1">'Food at Home'!$P$2:$P$12</definedName>
    <definedName name="_xlchart.v1.90" hidden="1">'Food&amp;Beverage'!$A$2:$A$12</definedName>
    <definedName name="_xlchart.v1.91" hidden="1">'Food&amp;Beverage'!$P$2:$P$12</definedName>
    <definedName name="_xlchart.v1.92" hidden="1">'Fruits&amp;Veg'!$A$2:$A$12</definedName>
    <definedName name="_xlchart.v1.93" hidden="1">'Fruits&amp;Veg'!$P$2:$P$12</definedName>
    <definedName name="_xlchart.v1.94" hidden="1">'Limited Time Service Meal'!$A$2:$A$12</definedName>
    <definedName name="_xlchart.v1.95" hidden="1">'Limited Time Service Meal'!$P$2:$P$12</definedName>
    <definedName name="_xlchart.v1.96" hidden="1">'Meat&amp;Poultry'!$A$2:$A$12</definedName>
    <definedName name="_xlchart.v1.97" hidden="1">'Meat&amp;Poultry'!$P$2:$P$12</definedName>
    <definedName name="_xlchart.v1.98" hidden="1">'Other Food'!$A$2:$A$12</definedName>
    <definedName name="_xlchart.v1.99" hidden="1">'Other Food'!$P$2:$P$12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N12" i="13"/>
  <c r="N11" i="13"/>
  <c r="N10" i="13"/>
  <c r="N9" i="13"/>
  <c r="N8" i="13"/>
  <c r="N7" i="13"/>
  <c r="N6" i="13"/>
  <c r="N5" i="13"/>
  <c r="N4" i="13"/>
  <c r="N3" i="13"/>
  <c r="N2" i="13"/>
  <c r="Q2" i="4"/>
  <c r="R2" i="4" s="1"/>
  <c r="P3" i="4"/>
  <c r="P4" i="4"/>
  <c r="P5" i="4"/>
  <c r="P6" i="4"/>
  <c r="P7" i="4"/>
  <c r="P8" i="4"/>
  <c r="P9" i="4"/>
  <c r="P10" i="4"/>
  <c r="P11" i="4"/>
  <c r="P12" i="4"/>
  <c r="P2" i="4"/>
  <c r="Q2" i="11"/>
  <c r="R2" i="11" s="1"/>
  <c r="P3" i="11"/>
  <c r="P4" i="11"/>
  <c r="P5" i="11"/>
  <c r="P6" i="11"/>
  <c r="P7" i="11"/>
  <c r="P8" i="11"/>
  <c r="P9" i="11"/>
  <c r="P10" i="11"/>
  <c r="P11" i="11"/>
  <c r="P12" i="11"/>
  <c r="P2" i="11"/>
  <c r="Q2" i="10"/>
  <c r="R2" i="10" s="1"/>
  <c r="P3" i="10"/>
  <c r="P4" i="10"/>
  <c r="P5" i="10"/>
  <c r="P6" i="10"/>
  <c r="P7" i="10"/>
  <c r="P8" i="10"/>
  <c r="P9" i="10"/>
  <c r="P10" i="10"/>
  <c r="P11" i="10"/>
  <c r="P12" i="10"/>
  <c r="P2" i="10"/>
  <c r="P3" i="13" s="1"/>
  <c r="P13" i="2"/>
  <c r="P3" i="9"/>
  <c r="P4" i="9"/>
  <c r="P5" i="9"/>
  <c r="P6" i="9"/>
  <c r="P7" i="9"/>
  <c r="P8" i="9"/>
  <c r="P9" i="9"/>
  <c r="P10" i="9"/>
  <c r="P11" i="9"/>
  <c r="P12" i="9"/>
  <c r="Q2" i="8"/>
  <c r="R2" i="8" s="1"/>
  <c r="P3" i="8"/>
  <c r="P4" i="8"/>
  <c r="P5" i="8"/>
  <c r="P6" i="8"/>
  <c r="P7" i="8"/>
  <c r="P8" i="8"/>
  <c r="P9" i="8"/>
  <c r="P10" i="8"/>
  <c r="P11" i="8"/>
  <c r="P12" i="8"/>
  <c r="P2" i="8"/>
  <c r="P2" i="9"/>
  <c r="P4" i="13" s="1"/>
  <c r="P2" i="7"/>
  <c r="P3" i="7"/>
  <c r="P4" i="7"/>
  <c r="P5" i="7"/>
  <c r="P6" i="7"/>
  <c r="P7" i="7"/>
  <c r="P8" i="7"/>
  <c r="P9" i="7"/>
  <c r="P10" i="7"/>
  <c r="P11" i="7"/>
  <c r="P12" i="7"/>
  <c r="Q2" i="7" s="1"/>
  <c r="R2" i="7" s="1"/>
  <c r="Q2" i="5"/>
  <c r="R2" i="5" s="1"/>
  <c r="P3" i="5"/>
  <c r="P4" i="5"/>
  <c r="P5" i="5"/>
  <c r="P6" i="5"/>
  <c r="P7" i="5"/>
  <c r="P8" i="5"/>
  <c r="P9" i="5"/>
  <c r="P10" i="5"/>
  <c r="P11" i="5"/>
  <c r="P12" i="5"/>
  <c r="P2" i="5"/>
  <c r="P3" i="12"/>
  <c r="P4" i="12"/>
  <c r="P5" i="12"/>
  <c r="P6" i="12"/>
  <c r="P7" i="12"/>
  <c r="P8" i="12"/>
  <c r="P9" i="12"/>
  <c r="P10" i="12"/>
  <c r="P11" i="12"/>
  <c r="P12" i="12"/>
  <c r="Q2" i="12" s="1"/>
  <c r="R2" i="12" s="1"/>
  <c r="P2" i="12"/>
  <c r="P5" i="13" s="1"/>
  <c r="P12" i="6"/>
  <c r="Q2" i="6" s="1"/>
  <c r="R2" i="6" s="1"/>
  <c r="P11" i="6"/>
  <c r="P10" i="6"/>
  <c r="P9" i="6"/>
  <c r="P8" i="6"/>
  <c r="P7" i="6"/>
  <c r="P6" i="6"/>
  <c r="P5" i="6"/>
  <c r="P4" i="6"/>
  <c r="P3" i="6"/>
  <c r="P2" i="6"/>
  <c r="P12" i="3"/>
  <c r="P11" i="3"/>
  <c r="P10" i="3"/>
  <c r="P9" i="3"/>
  <c r="P8" i="3"/>
  <c r="P7" i="3"/>
  <c r="P6" i="3"/>
  <c r="P5" i="3"/>
  <c r="P4" i="3"/>
  <c r="P3" i="3"/>
  <c r="P13" i="3" s="1"/>
  <c r="P2" i="3"/>
  <c r="P12" i="2"/>
  <c r="P11" i="2"/>
  <c r="P10" i="2"/>
  <c r="P9" i="2"/>
  <c r="P8" i="2"/>
  <c r="P7" i="2"/>
  <c r="P6" i="2"/>
  <c r="P5" i="2"/>
  <c r="P4" i="2"/>
  <c r="P3" i="2"/>
  <c r="P2" i="2"/>
  <c r="P2" i="13" s="1"/>
  <c r="Q2" i="2" l="1"/>
  <c r="Q2" i="9"/>
  <c r="R2" i="9" s="1"/>
  <c r="Q2" i="3"/>
  <c r="R2" i="3" s="1"/>
</calcChain>
</file>

<file path=xl/sharedStrings.xml><?xml version="1.0" encoding="utf-8"?>
<sst xmlns="http://schemas.openxmlformats.org/spreadsheetml/2006/main" count="211" uniqueCount="21">
  <si>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</si>
  <si>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</si>
  <si>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</si>
  <si>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</si>
  <si>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</si>
  <si>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</si>
  <si>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</si>
  <si>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</si>
  <si>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</si>
  <si>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</si>
  <si>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</si>
  <si>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</si>
  <si>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</si>
  <si>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</si>
  <si>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</si>
  <si>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AVG</t>
  </si>
  <si>
    <t>Difference</t>
  </si>
  <si>
    <t>Delta</t>
  </si>
  <si>
    <t>average</t>
  </si>
  <si>
    <t>difference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</si>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</sst>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"/>
    <numFmt numFmtId="165" formatCode="#0.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165" fontId="0" fillId="0" borderId="0" xfId="0" applyNumberFormat="1"/>
    <xf numFmtId="2" fontId="0" fillId="0" borderId="0" xfId="0" applyNumberForma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Cereals&amp;Bakery</c:v>
          </c:tx>
          <c:cat>
            <c:numRef>
              <c:f>'[1]BLS Data Series'!$A$13:$A$23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'[1]BLS Data Series'!$P$13:$P$23</c:f>
              <c:numCache>
                <c:formatCode>General</c:formatCode>
                <c:ptCount val="11"/>
                <c:pt idx="0">
                  <c:v>271.05616666666668</c:v>
                </c:pt>
                <c:pt idx="1">
                  <c:v>274.05558333333335</c:v>
                </c:pt>
                <c:pt idx="2">
                  <c:v>273.10858333333334</c:v>
                </c:pt>
                <c:pt idx="3">
                  <c:v>271.67816666666675</c:v>
                </c:pt>
                <c:pt idx="4">
                  <c:v>272.78058333333337</c:v>
                </c:pt>
                <c:pt idx="5">
                  <c:v>276.56133333333338</c:v>
                </c:pt>
                <c:pt idx="6">
                  <c:v>282.64508333333339</c:v>
                </c:pt>
                <c:pt idx="7">
                  <c:v>289.07866666666666</c:v>
                </c:pt>
                <c:pt idx="8">
                  <c:v>326.72941666666668</c:v>
                </c:pt>
                <c:pt idx="9">
                  <c:v>354.2686666666666</c:v>
                </c:pt>
                <c:pt idx="10">
                  <c:v>356.09290909090913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740-AC45-A1B1-BF80F26AB8FA}"/>
            </c:ext>
          </c:extLst>
        </c:ser>
        <c:ser>
          <c:idx val="2"/>
          <c:order val="1"/>
          <c:tx>
            <c:v>Dairy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cat>
            <c:numRef>
              <c:f>'[2]BLS Data Series'!$A$2:$A$12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'[2]BLS Data Series'!$P$2:$P$12</c:f>
              <c:numCache>
                <c:formatCode>General</c:formatCode>
                <c:ptCount val="11"/>
                <c:pt idx="0">
                  <c:v>225.30974999999992</c:v>
                </c:pt>
                <c:pt idx="1">
                  <c:v>222.41783333333331</c:v>
                </c:pt>
                <c:pt idx="2">
                  <c:v>217.30608333333339</c:v>
                </c:pt>
                <c:pt idx="3">
                  <c:v>217.45466666666667</c:v>
                </c:pt>
                <c:pt idx="4">
                  <c:v>216.4616666666667</c:v>
                </c:pt>
                <c:pt idx="5">
                  <c:v>218.69341666666665</c:v>
                </c:pt>
                <c:pt idx="6">
                  <c:v>228.32183333333342</c:v>
                </c:pt>
                <c:pt idx="7">
                  <c:v>231.42225000000005</c:v>
                </c:pt>
                <c:pt idx="8">
                  <c:v>259.18433333333337</c:v>
                </c:pt>
                <c:pt idx="9">
                  <c:v>269.52775000000003</c:v>
                </c:pt>
                <c:pt idx="10">
                  <c:v>268.6498181818182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4740-AC45-A1B1-BF80F26AB8FA}"/>
            </c:ext>
          </c:extLst>
        </c:ser>
        <c:ser>
          <c:idx val="3"/>
          <c:order val="2"/>
          <c:tx>
            <c:v>Non Alcoholic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cat>
            <c:numRef>
              <c:f>'[3]BLS Data Series'!$A$13:$A$23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'[3]BLS Data Series'!$P$13:$P$23</c:f>
              <c:numCache>
                <c:formatCode>General</c:formatCode>
                <c:ptCount val="11"/>
                <c:pt idx="0">
                  <c:v>166.01599999999999</c:v>
                </c:pt>
                <c:pt idx="1">
                  <c:v>167.89558333333335</c:v>
                </c:pt>
                <c:pt idx="2">
                  <c:v>167.26649999999998</c:v>
                </c:pt>
                <c:pt idx="3">
                  <c:v>167.56116666666668</c:v>
                </c:pt>
                <c:pt idx="4">
                  <c:v>167.58949999999999</c:v>
                </c:pt>
                <c:pt idx="5">
                  <c:v>170.83533333333332</c:v>
                </c:pt>
                <c:pt idx="6">
                  <c:v>176.92724999999999</c:v>
                </c:pt>
                <c:pt idx="7">
                  <c:v>181.83766666666665</c:v>
                </c:pt>
                <c:pt idx="8">
                  <c:v>201.86433333333335</c:v>
                </c:pt>
                <c:pt idx="9">
                  <c:v>215.99283333333332</c:v>
                </c:pt>
                <c:pt idx="10">
                  <c:v>220.34509090909094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740-AC45-A1B1-BF80F26AB8FA}"/>
            </c:ext>
          </c:extLst>
        </c:ser>
        <c:ser>
          <c:idx val="4"/>
          <c:order val="3"/>
          <c:tx>
            <c:v>Limited Time Service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cat>
            <c:numRef>
              <c:f>'Limited Time Service Meal'!$A$2:$A$12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'Limited Time Service Meal'!$P$2:$P$12</c:f>
              <c:numCache>
                <c:formatCode>#0.00</c:formatCode>
                <c:ptCount val="11"/>
                <c:pt idx="0">
                  <c:v>158.63400000000001</c:v>
                </c:pt>
                <c:pt idx="1">
                  <c:v>163.28399999999999</c:v>
                </c:pt>
                <c:pt idx="2">
                  <c:v>167.45699999999999</c:v>
                </c:pt>
                <c:pt idx="3">
                  <c:v>171.86349999999999</c:v>
                </c:pt>
                <c:pt idx="4">
                  <c:v>176.678</c:v>
                </c:pt>
                <c:pt idx="5">
                  <c:v>181.8665</c:v>
                </c:pt>
                <c:pt idx="6">
                  <c:v>189.988</c:v>
                </c:pt>
                <c:pt idx="7">
                  <c:v>203.59449999999998</c:v>
                </c:pt>
                <c:pt idx="8">
                  <c:v>218.471</c:v>
                </c:pt>
                <c:pt idx="9">
                  <c:v>232.2045</c:v>
                </c:pt>
                <c:pt idx="10">
                  <c:v>239.51499999999999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4740-AC45-A1B1-BF80F26AB8FA}"/>
            </c:ext>
          </c:extLst>
        </c:ser>
        <c:ser>
          <c:idx val="5"/>
          <c:order val="4"/>
          <c:tx>
            <c:v>Other Food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cat>
            <c:numRef>
              <c:f>'Other Food'!$A$2:$A$12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'Other Food'!$P$2:$P$12</c:f>
              <c:numCache>
                <c:formatCode>#0.00</c:formatCode>
                <c:ptCount val="11"/>
                <c:pt idx="0">
                  <c:v>206.15808333333337</c:v>
                </c:pt>
                <c:pt idx="1">
                  <c:v>209.33416666666668</c:v>
                </c:pt>
                <c:pt idx="2">
                  <c:v>209.52341666666666</c:v>
                </c:pt>
                <c:pt idx="3">
                  <c:v>209.86483333333328</c:v>
                </c:pt>
                <c:pt idx="4">
                  <c:v>210.22016666666664</c:v>
                </c:pt>
                <c:pt idx="5">
                  <c:v>211.09324999999998</c:v>
                </c:pt>
                <c:pt idx="6">
                  <c:v>217.32466666666664</c:v>
                </c:pt>
                <c:pt idx="7">
                  <c:v>222.87483333333333</c:v>
                </c:pt>
                <c:pt idx="8">
                  <c:v>251.81108333333336</c:v>
                </c:pt>
                <c:pt idx="9">
                  <c:v>269.72908333333334</c:v>
                </c:pt>
                <c:pt idx="10">
                  <c:v>272.84354545454545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740-AC45-A1B1-BF80F26AB8FA}"/>
            </c:ext>
          </c:extLst>
        </c:ser>
        <c:ser>
          <c:idx val="6"/>
          <c:order val="5"/>
          <c:tx>
            <c:v>Food &amp; Beverage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cat>
            <c:numRef>
              <c:f>'Food&amp;Beverage'!$A$2:$A$12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'Food&amp;Beverage'!$P$2:$P$12</c:f>
              <c:numCache>
                <c:formatCode>#0.00</c:formatCode>
                <c:ptCount val="11"/>
                <c:pt idx="0">
                  <c:v>242.1885</c:v>
                </c:pt>
                <c:pt idx="1">
                  <c:v>246.78399999999999</c:v>
                </c:pt>
                <c:pt idx="2">
                  <c:v>247.6875</c:v>
                </c:pt>
                <c:pt idx="3">
                  <c:v>249.54900000000001</c:v>
                </c:pt>
                <c:pt idx="4">
                  <c:v>253.566</c:v>
                </c:pt>
                <c:pt idx="5">
                  <c:v>257.79399999999998</c:v>
                </c:pt>
                <c:pt idx="6">
                  <c:v>265.01049999999998</c:v>
                </c:pt>
                <c:pt idx="7">
                  <c:v>277.90800000000002</c:v>
                </c:pt>
                <c:pt idx="8">
                  <c:v>301.36149999999998</c:v>
                </c:pt>
                <c:pt idx="9">
                  <c:v>319.81899999999996</c:v>
                </c:pt>
                <c:pt idx="10">
                  <c:v>324.78199999999998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4740-AC45-A1B1-BF80F26AB8FA}"/>
            </c:ext>
          </c:extLst>
        </c:ser>
        <c:ser>
          <c:idx val="7"/>
          <c:order val="6"/>
          <c:tx>
            <c:v>Food at Home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cat>
            <c:numRef>
              <c:f>'Food at Home'!$A$2:$A$14</c:f>
              <c:numCache>
                <c:formatCode>General</c:formatCod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'Food at Home'!$P$2:$P$12</c:f>
              <c:numCache>
                <c:formatCode>#0.00</c:formatCode>
                <c:ptCount val="11"/>
                <c:pt idx="0">
                  <c:v>239.45599999999999</c:v>
                </c:pt>
                <c:pt idx="1">
                  <c:v>242.25</c:v>
                </c:pt>
                <c:pt idx="2">
                  <c:v>239.06508333333332</c:v>
                </c:pt>
                <c:pt idx="3">
                  <c:v>238.58908333333332</c:v>
                </c:pt>
                <c:pt idx="4">
                  <c:v>239.66108333333332</c:v>
                </c:pt>
                <c:pt idx="5">
                  <c:v>241.77449999999999</c:v>
                </c:pt>
                <c:pt idx="6">
                  <c:v>250.23283333333336</c:v>
                </c:pt>
                <c:pt idx="7">
                  <c:v>258.89175</c:v>
                </c:pt>
                <c:pt idx="8">
                  <c:v>288.45108333333332</c:v>
                </c:pt>
                <c:pt idx="9">
                  <c:v>302.92891666666668</c:v>
                </c:pt>
                <c:pt idx="10">
                  <c:v>306.36854545454548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740-AC45-A1B1-BF80F26AB8FA}"/>
            </c:ext>
          </c:extLst>
        </c:ser>
        <c:ser>
          <c:idx val="8"/>
          <c:order val="7"/>
          <c:tx>
            <c:v>Fruits &amp; Veg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cat>
            <c:numRef>
              <c:f>'Fruits&amp;Veg'!$A$2:$A$12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'Fruits&amp;Veg'!$P$2:$P$12</c:f>
              <c:numCache>
                <c:formatCode>#0.00</c:formatCode>
                <c:ptCount val="11"/>
                <c:pt idx="0">
                  <c:v>294.39783333333338</c:v>
                </c:pt>
                <c:pt idx="1">
                  <c:v>293.84016666666668</c:v>
                </c:pt>
                <c:pt idx="2">
                  <c:v>296.27716666666663</c:v>
                </c:pt>
                <c:pt idx="3">
                  <c:v>295.68441666666666</c:v>
                </c:pt>
                <c:pt idx="4">
                  <c:v>297.79325</c:v>
                </c:pt>
                <c:pt idx="5">
                  <c:v>300.85374999999993</c:v>
                </c:pt>
                <c:pt idx="6">
                  <c:v>304.92924999999997</c:v>
                </c:pt>
                <c:pt idx="7">
                  <c:v>314.80874999999997</c:v>
                </c:pt>
                <c:pt idx="8">
                  <c:v>341.67100000000005</c:v>
                </c:pt>
                <c:pt idx="9">
                  <c:v>350.17525000000001</c:v>
                </c:pt>
                <c:pt idx="10">
                  <c:v>352.71999999999997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4740-AC45-A1B1-BF80F26AB8FA}"/>
            </c:ext>
          </c:extLst>
        </c:ser>
        <c:ser>
          <c:idx val="9"/>
          <c:order val="8"/>
          <c:tx>
            <c:v>Food Away From Home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cat>
            <c:numRef>
              <c:f>'Food Away from Home'!$A$2:$A$12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'Food Away from Home'!$P$2:$P$12</c:f>
              <c:numCache>
                <c:formatCode>#0.00</c:formatCode>
                <c:ptCount val="11"/>
                <c:pt idx="0">
                  <c:v>248.98108333333334</c:v>
                </c:pt>
                <c:pt idx="1">
                  <c:v>256.10066666666665</c:v>
                </c:pt>
                <c:pt idx="2">
                  <c:v>262.69533333333328</c:v>
                </c:pt>
                <c:pt idx="3">
                  <c:v>268.82583333333332</c:v>
                </c:pt>
                <c:pt idx="4">
                  <c:v>275.89308333333332</c:v>
                </c:pt>
                <c:pt idx="5">
                  <c:v>284.40966666666668</c:v>
                </c:pt>
                <c:pt idx="6">
                  <c:v>293.94433333333336</c:v>
                </c:pt>
                <c:pt idx="7">
                  <c:v>307.29608333333334</c:v>
                </c:pt>
                <c:pt idx="8">
                  <c:v>330.82200000000006</c:v>
                </c:pt>
                <c:pt idx="9">
                  <c:v>354.25566666666668</c:v>
                </c:pt>
                <c:pt idx="10">
                  <c:v>368.20636363636362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740-AC45-A1B1-BF80F26AB8FA}"/>
            </c:ext>
          </c:extLst>
        </c:ser>
        <c:ser>
          <c:idx val="0"/>
          <c:order val="9"/>
          <c:tx>
            <c:v>Meat &amp; Poultry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'Meat&amp;Poultry'!$A$2:$A$12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'Meat&amp;Poultry'!$P$2:$P$12</c:f>
              <c:numCache>
                <c:formatCode>#0.00</c:formatCode>
                <c:ptCount val="11"/>
                <c:pt idx="0">
                  <c:v>250.60649999999998</c:v>
                </c:pt>
                <c:pt idx="1">
                  <c:v>258.14</c:v>
                </c:pt>
                <c:pt idx="2">
                  <c:v>246.69749999999999</c:v>
                </c:pt>
                <c:pt idx="3">
                  <c:v>245.50799999999998</c:v>
                </c:pt>
                <c:pt idx="4">
                  <c:v>247.30549999999999</c:v>
                </c:pt>
                <c:pt idx="5">
                  <c:v>250.53100000000001</c:v>
                </c:pt>
                <c:pt idx="6">
                  <c:v>258.69</c:v>
                </c:pt>
                <c:pt idx="7">
                  <c:v>281.76300000000003</c:v>
                </c:pt>
                <c:pt idx="8">
                  <c:v>309.44799999999998</c:v>
                </c:pt>
                <c:pt idx="9">
                  <c:v>321.44</c:v>
                </c:pt>
                <c:pt idx="10">
                  <c:v>319.75200000000001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4740-AC45-A1B1-BF80F26AB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120496"/>
        <c:axId val="476114512"/>
      </c:lineChart>
      <c:catAx>
        <c:axId val="4761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114512"/>
        <c:crosses val="autoZero"/>
        <c:auto val="1"/>
        <c:lblAlgn val="ctr"/>
        <c:lblOffset val="100"/>
        <c:noMultiLvlLbl val="0"/>
      </c:catAx>
      <c:valAx>
        <c:axId val="476114512"/>
        <c:scaling>
          <c:orientation val="minMax"/>
          <c:max val="400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Consumer 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120496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2400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Correlation of select food categories against</a:t>
            </a:r>
            <a:r>
              <a:rPr lang="en-US" sz="2400" baseline="0"/>
              <a:t> Gas price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food away from home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Gas!$N$2:$N$12</c:f>
              <c:numCache>
                <c:formatCode>#0.000</c:formatCode>
                <c:ptCount val="11"/>
                <c:pt idx="0">
                  <c:v>3.3672500000000003</c:v>
                </c:pt>
                <c:pt idx="1">
                  <c:v>2.4477499999999996</c:v>
                </c:pt>
                <c:pt idx="2">
                  <c:v>2.1417499999999996</c:v>
                </c:pt>
                <c:pt idx="3">
                  <c:v>2.4074999999999998</c:v>
                </c:pt>
                <c:pt idx="4">
                  <c:v>2.7353333333333336</c:v>
                </c:pt>
                <c:pt idx="5">
                  <c:v>2.63625</c:v>
                </c:pt>
                <c:pt idx="6">
                  <c:v>2.1744166666666667</c:v>
                </c:pt>
                <c:pt idx="7">
                  <c:v>3.0505</c:v>
                </c:pt>
                <c:pt idx="8">
                  <c:v>4.0936666666666666</c:v>
                </c:pt>
                <c:pt idx="9">
                  <c:v>3.6579166666666665</c:v>
                </c:pt>
                <c:pt idx="10">
                  <c:v>3.4763636363636361</c:v>
                </c:pt>
              </c:numCache>
            </c:numRef>
          </c:xVal>
          <c:yVal>
            <c:numRef>
              <c:f>'Food Away from Home'!$P$2:$P$12</c:f>
              <c:numCache>
                <c:formatCode>#0.00</c:formatCode>
                <c:ptCount val="11"/>
                <c:pt idx="0">
                  <c:v>248.98108333333334</c:v>
                </c:pt>
                <c:pt idx="1">
                  <c:v>256.10066666666665</c:v>
                </c:pt>
                <c:pt idx="2">
                  <c:v>262.69533333333328</c:v>
                </c:pt>
                <c:pt idx="3">
                  <c:v>268.82583333333332</c:v>
                </c:pt>
                <c:pt idx="4">
                  <c:v>275.89308333333332</c:v>
                </c:pt>
                <c:pt idx="5">
                  <c:v>284.40966666666668</c:v>
                </c:pt>
                <c:pt idx="6">
                  <c:v>293.94433333333336</c:v>
                </c:pt>
                <c:pt idx="7">
                  <c:v>307.29608333333334</c:v>
                </c:pt>
                <c:pt idx="8">
                  <c:v>330.82200000000006</c:v>
                </c:pt>
                <c:pt idx="9">
                  <c:v>354.25566666666668</c:v>
                </c:pt>
                <c:pt idx="10">
                  <c:v>368.20636363636362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EA-D540-9CDD-84C7990A92B9}"/>
            </c:ext>
          </c:extLst>
        </c:ser>
        <c:ser>
          <c:idx val="1"/>
          <c:order val="1"/>
          <c:tx>
            <c:v>meat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Gas!$N$2:$N$12</c:f>
              <c:numCache>
                <c:formatCode>#0.000</c:formatCode>
                <c:ptCount val="11"/>
                <c:pt idx="0">
                  <c:v>3.3672500000000003</c:v>
                </c:pt>
                <c:pt idx="1">
                  <c:v>2.4477499999999996</c:v>
                </c:pt>
                <c:pt idx="2">
                  <c:v>2.1417499999999996</c:v>
                </c:pt>
                <c:pt idx="3">
                  <c:v>2.4074999999999998</c:v>
                </c:pt>
                <c:pt idx="4">
                  <c:v>2.7353333333333336</c:v>
                </c:pt>
                <c:pt idx="5">
                  <c:v>2.63625</c:v>
                </c:pt>
                <c:pt idx="6">
                  <c:v>2.1744166666666667</c:v>
                </c:pt>
                <c:pt idx="7">
                  <c:v>3.0505</c:v>
                </c:pt>
                <c:pt idx="8">
                  <c:v>4.0936666666666666</c:v>
                </c:pt>
                <c:pt idx="9">
                  <c:v>3.6579166666666665</c:v>
                </c:pt>
                <c:pt idx="10">
                  <c:v>3.4763636363636361</c:v>
                </c:pt>
              </c:numCache>
            </c:numRef>
          </c:xVal>
          <c:yVal>
            <c:numRef>
              <c:f>'Meat&amp;Poultry'!$P$2:$P$12</c:f>
              <c:numCache>
                <c:formatCode>#0.00</c:formatCode>
                <c:ptCount val="11"/>
                <c:pt idx="0">
                  <c:v>250.60649999999998</c:v>
                </c:pt>
                <c:pt idx="1">
                  <c:v>258.14</c:v>
                </c:pt>
                <c:pt idx="2">
                  <c:v>246.69749999999999</c:v>
                </c:pt>
                <c:pt idx="3">
                  <c:v>245.50799999999998</c:v>
                </c:pt>
                <c:pt idx="4">
                  <c:v>247.30549999999999</c:v>
                </c:pt>
                <c:pt idx="5">
                  <c:v>250.53100000000001</c:v>
                </c:pt>
                <c:pt idx="6">
                  <c:v>258.69</c:v>
                </c:pt>
                <c:pt idx="7">
                  <c:v>281.76300000000003</c:v>
                </c:pt>
                <c:pt idx="8">
                  <c:v>309.44799999999998</c:v>
                </c:pt>
                <c:pt idx="9">
                  <c:v>321.44</c:v>
                </c:pt>
                <c:pt idx="10">
                  <c:v>319.75200000000001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EA-D540-9CDD-84C7990A92B9}"/>
            </c:ext>
          </c:extLst>
        </c:ser>
        <c:ser>
          <c:idx val="2"/>
          <c:order val="2"/>
          <c:tx>
            <c:v>cereal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Gas!$N$2:$N$12</c:f>
              <c:numCache>
                <c:formatCode>#0.000</c:formatCode>
                <c:ptCount val="11"/>
                <c:pt idx="0">
                  <c:v>3.3672500000000003</c:v>
                </c:pt>
                <c:pt idx="1">
                  <c:v>2.4477499999999996</c:v>
                </c:pt>
                <c:pt idx="2">
                  <c:v>2.1417499999999996</c:v>
                </c:pt>
                <c:pt idx="3">
                  <c:v>2.4074999999999998</c:v>
                </c:pt>
                <c:pt idx="4">
                  <c:v>2.7353333333333336</c:v>
                </c:pt>
                <c:pt idx="5">
                  <c:v>2.63625</c:v>
                </c:pt>
                <c:pt idx="6">
                  <c:v>2.1744166666666667</c:v>
                </c:pt>
                <c:pt idx="7">
                  <c:v>3.0505</c:v>
                </c:pt>
                <c:pt idx="8">
                  <c:v>4.0936666666666666</c:v>
                </c:pt>
                <c:pt idx="9">
                  <c:v>3.6579166666666665</c:v>
                </c:pt>
                <c:pt idx="10">
                  <c:v>3.4763636363636361</c:v>
                </c:pt>
              </c:numCache>
            </c:numRef>
          </c:xVal>
          <c:yVal>
            <c:numRef>
              <c:f>'Cereals&amp;Bakery'!$P$2:$P$12</c:f>
              <c:numCache>
                <c:formatCode>#0.00</c:formatCode>
                <c:ptCount val="11"/>
                <c:pt idx="0">
                  <c:v>271.05616666666668</c:v>
                </c:pt>
                <c:pt idx="1">
                  <c:v>274.05558333333335</c:v>
                </c:pt>
                <c:pt idx="2">
                  <c:v>273.10858333333334</c:v>
                </c:pt>
                <c:pt idx="3">
                  <c:v>271.67816666666675</c:v>
                </c:pt>
                <c:pt idx="4">
                  <c:v>272.78058333333337</c:v>
                </c:pt>
                <c:pt idx="5">
                  <c:v>276.56133333333338</c:v>
                </c:pt>
                <c:pt idx="6">
                  <c:v>282.64508333333339</c:v>
                </c:pt>
                <c:pt idx="7">
                  <c:v>289.07866666666666</c:v>
                </c:pt>
                <c:pt idx="8">
                  <c:v>326.72941666666668</c:v>
                </c:pt>
                <c:pt idx="9">
                  <c:v>354.2686666666666</c:v>
                </c:pt>
                <c:pt idx="10">
                  <c:v>356.09290909090913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EA-D540-9CDD-84C7990A9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708271"/>
        <c:axId val="478026896"/>
      </c:scatterChart>
      <c:valAx>
        <c:axId val="1040708271"/>
        <c:scaling>
          <c:orientation val="minMax"/>
          <c:min val="1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Gas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26896"/>
        <c:crosses val="autoZero"/>
        <c:crossBetween val="midCat"/>
      </c:valAx>
      <c:valAx>
        <c:axId val="478026896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Consumer category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708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of Cereals &amp;</a:t>
            </a:r>
            <a:r>
              <a:rPr lang="en-US" baseline="0"/>
              <a:t> Bakery Price ($) against Gas Price ($)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Gas!$N$2:$N$12</c:f>
              <c:numCache>
                <c:formatCode>#0.000</c:formatCode>
                <c:ptCount val="11"/>
                <c:pt idx="0">
                  <c:v>3.3672500000000003</c:v>
                </c:pt>
                <c:pt idx="1">
                  <c:v>2.4477499999999996</c:v>
                </c:pt>
                <c:pt idx="2">
                  <c:v>2.1417499999999996</c:v>
                </c:pt>
                <c:pt idx="3">
                  <c:v>2.4074999999999998</c:v>
                </c:pt>
                <c:pt idx="4">
                  <c:v>2.7353333333333336</c:v>
                </c:pt>
                <c:pt idx="5">
                  <c:v>2.63625</c:v>
                </c:pt>
                <c:pt idx="6">
                  <c:v>2.1744166666666667</c:v>
                </c:pt>
                <c:pt idx="7">
                  <c:v>3.0505</c:v>
                </c:pt>
                <c:pt idx="8">
                  <c:v>4.0936666666666666</c:v>
                </c:pt>
                <c:pt idx="9">
                  <c:v>3.6579166666666665</c:v>
                </c:pt>
                <c:pt idx="10">
                  <c:v>3.4763636363636361</c:v>
                </c:pt>
              </c:numCache>
            </c:numRef>
          </c:xVal>
          <c:yVal>
            <c:numRef>
              <c:f>'Cereals&amp;Bakery'!$P$2:$P$12</c:f>
              <c:numCache>
                <c:formatCode>#0.00</c:formatCode>
                <c:ptCount val="11"/>
                <c:pt idx="0">
                  <c:v>271.05616666666668</c:v>
                </c:pt>
                <c:pt idx="1">
                  <c:v>274.05558333333335</c:v>
                </c:pt>
                <c:pt idx="2">
                  <c:v>273.10858333333334</c:v>
                </c:pt>
                <c:pt idx="3">
                  <c:v>271.67816666666675</c:v>
                </c:pt>
                <c:pt idx="4">
                  <c:v>272.78058333333337</c:v>
                </c:pt>
                <c:pt idx="5">
                  <c:v>276.56133333333338</c:v>
                </c:pt>
                <c:pt idx="6">
                  <c:v>282.64508333333339</c:v>
                </c:pt>
                <c:pt idx="7">
                  <c:v>289.07866666666666</c:v>
                </c:pt>
                <c:pt idx="8">
                  <c:v>326.72941666666668</c:v>
                </c:pt>
                <c:pt idx="9">
                  <c:v>354.2686666666666</c:v>
                </c:pt>
                <c:pt idx="10">
                  <c:v>356.09290909090913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3-3E4F-88FA-613FD8E28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010639"/>
        <c:axId val="1175954911"/>
      </c:scatterChart>
      <c:valAx>
        <c:axId val="1176010639"/>
        <c:scaling>
          <c:orientation val="minMax"/>
          <c:min val="1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Gas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954911"/>
        <c:crosses val="autoZero"/>
        <c:crossBetween val="midCat"/>
      </c:valAx>
      <c:valAx>
        <c:axId val="1175954911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Cereal &amp; Bakery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1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Cereals</a:t>
            </a:r>
            <a:r>
              <a:rPr lang="en-US" baseline="0"/>
              <a:t> &amp; Bakery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'[1]BLS Data Series'!$A$13:$A$23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'[1]BLS Data Series'!$P$13:$P$23</c:f>
              <c:numCache>
                <c:formatCode>General</c:formatCode>
                <c:ptCount val="11"/>
                <c:pt idx="0">
                  <c:v>271.05616666666668</c:v>
                </c:pt>
                <c:pt idx="1">
                  <c:v>274.05558333333335</c:v>
                </c:pt>
                <c:pt idx="2">
                  <c:v>273.10858333333334</c:v>
                </c:pt>
                <c:pt idx="3">
                  <c:v>271.67816666666675</c:v>
                </c:pt>
                <c:pt idx="4">
                  <c:v>272.78058333333337</c:v>
                </c:pt>
                <c:pt idx="5">
                  <c:v>276.56133333333338</c:v>
                </c:pt>
                <c:pt idx="6">
                  <c:v>282.64508333333339</c:v>
                </c:pt>
                <c:pt idx="7">
                  <c:v>289.07866666666666</c:v>
                </c:pt>
                <c:pt idx="8">
                  <c:v>326.72941666666668</c:v>
                </c:pt>
                <c:pt idx="9">
                  <c:v>354.2686666666666</c:v>
                </c:pt>
                <c:pt idx="10">
                  <c:v>356.09290909090913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E-474B-BD56-572CEFDA0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739696"/>
        <c:axId val="448741408"/>
      </c:lineChart>
      <c:catAx>
        <c:axId val="44873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41408"/>
        <c:crosses val="autoZero"/>
        <c:auto val="1"/>
        <c:lblAlgn val="ctr"/>
        <c:lblOffset val="100"/>
        <c:noMultiLvlLbl val="0"/>
      </c:catAx>
      <c:valAx>
        <c:axId val="4487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3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</a:t>
            </a:r>
            <a:r>
              <a:rPr lang="en-US" baseline="0"/>
              <a:t> Alcoholic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Non Alcoholic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'[3]BLS Data Series'!$A$13:$A$23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'[3]BLS Data Series'!$P$13:$P$23</c:f>
              <c:numCache>
                <c:formatCode>General</c:formatCode>
                <c:ptCount val="11"/>
                <c:pt idx="0">
                  <c:v>166.01599999999999</c:v>
                </c:pt>
                <c:pt idx="1">
                  <c:v>167.89558333333335</c:v>
                </c:pt>
                <c:pt idx="2">
                  <c:v>167.26649999999998</c:v>
                </c:pt>
                <c:pt idx="3">
                  <c:v>167.56116666666668</c:v>
                </c:pt>
                <c:pt idx="4">
                  <c:v>167.58949999999999</c:v>
                </c:pt>
                <c:pt idx="5">
                  <c:v>170.83533333333332</c:v>
                </c:pt>
                <c:pt idx="6">
                  <c:v>176.92724999999999</c:v>
                </c:pt>
                <c:pt idx="7">
                  <c:v>181.83766666666665</c:v>
                </c:pt>
                <c:pt idx="8">
                  <c:v>201.86433333333335</c:v>
                </c:pt>
                <c:pt idx="9">
                  <c:v>215.99283333333332</c:v>
                </c:pt>
                <c:pt idx="10">
                  <c:v>220.34509090909094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5-F546-A408-6B4DFADC0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530272"/>
        <c:axId val="1041122719"/>
      </c:lineChart>
      <c:catAx>
        <c:axId val="41853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22719"/>
        <c:crosses val="autoZero"/>
        <c:auto val="1"/>
        <c:lblAlgn val="ctr"/>
        <c:lblOffset val="100"/>
        <c:noMultiLvlLbl val="0"/>
      </c:catAx>
      <c:valAx>
        <c:axId val="10411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3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'[2]BLS Data Series'!$A$2:$A$12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'[2]BLS Data Series'!$P$2:$P$12</c:f>
              <c:numCache>
                <c:formatCode>General</c:formatCode>
                <c:ptCount val="11"/>
                <c:pt idx="0">
                  <c:v>225.30974999999992</c:v>
                </c:pt>
                <c:pt idx="1">
                  <c:v>222.41783333333331</c:v>
                </c:pt>
                <c:pt idx="2">
                  <c:v>217.30608333333339</c:v>
                </c:pt>
                <c:pt idx="3">
                  <c:v>217.45466666666667</c:v>
                </c:pt>
                <c:pt idx="4">
                  <c:v>216.4616666666667</c:v>
                </c:pt>
                <c:pt idx="5">
                  <c:v>218.69341666666665</c:v>
                </c:pt>
                <c:pt idx="6">
                  <c:v>228.32183333333342</c:v>
                </c:pt>
                <c:pt idx="7">
                  <c:v>231.42225000000005</c:v>
                </c:pt>
                <c:pt idx="8">
                  <c:v>259.18433333333337</c:v>
                </c:pt>
                <c:pt idx="9">
                  <c:v>269.52775000000003</c:v>
                </c:pt>
                <c:pt idx="10">
                  <c:v>268.6498181818182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7-7E47-92EC-436A2A1B0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296352"/>
        <c:axId val="471298064"/>
      </c:lineChart>
      <c:catAx>
        <c:axId val="47129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298064"/>
        <c:crosses val="autoZero"/>
        <c:auto val="1"/>
        <c:lblAlgn val="ctr"/>
        <c:lblOffset val="100"/>
        <c:noMultiLvlLbl val="0"/>
      </c:catAx>
      <c:valAx>
        <c:axId val="4712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29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limited time service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'Limited Time Service Meal'!$A$2:$A$12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'Limited Time Service Meal'!$P$2:$P$12</c:f>
              <c:numCache>
                <c:formatCode>#0.00</c:formatCode>
                <c:ptCount val="11"/>
                <c:pt idx="0">
                  <c:v>158.63400000000001</c:v>
                </c:pt>
                <c:pt idx="1">
                  <c:v>163.28399999999999</c:v>
                </c:pt>
                <c:pt idx="2">
                  <c:v>167.45699999999999</c:v>
                </c:pt>
                <c:pt idx="3">
                  <c:v>171.86349999999999</c:v>
                </c:pt>
                <c:pt idx="4">
                  <c:v>176.678</c:v>
                </c:pt>
                <c:pt idx="5">
                  <c:v>181.8665</c:v>
                </c:pt>
                <c:pt idx="6">
                  <c:v>189.988</c:v>
                </c:pt>
                <c:pt idx="7">
                  <c:v>203.59449999999998</c:v>
                </c:pt>
                <c:pt idx="8">
                  <c:v>218.471</c:v>
                </c:pt>
                <c:pt idx="9">
                  <c:v>232.2045</c:v>
                </c:pt>
                <c:pt idx="10">
                  <c:v>239.51499999999999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61-994C-9DA2-9C8048C3C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401888"/>
        <c:axId val="1694864848"/>
      </c:lineChart>
      <c:catAx>
        <c:axId val="42840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864848"/>
        <c:crosses val="autoZero"/>
        <c:auto val="1"/>
        <c:lblAlgn val="ctr"/>
        <c:lblOffset val="100"/>
        <c:noMultiLvlLbl val="0"/>
      </c:catAx>
      <c:valAx>
        <c:axId val="169486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0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Other Food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'Other Food'!$A$2:$A$12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'Other Food'!$P$2:$P$12</c:f>
              <c:numCache>
                <c:formatCode>#0.00</c:formatCode>
                <c:ptCount val="11"/>
                <c:pt idx="0">
                  <c:v>206.15808333333337</c:v>
                </c:pt>
                <c:pt idx="1">
                  <c:v>209.33416666666668</c:v>
                </c:pt>
                <c:pt idx="2">
                  <c:v>209.52341666666666</c:v>
                </c:pt>
                <c:pt idx="3">
                  <c:v>209.86483333333328</c:v>
                </c:pt>
                <c:pt idx="4">
                  <c:v>210.22016666666664</c:v>
                </c:pt>
                <c:pt idx="5">
                  <c:v>211.09324999999998</c:v>
                </c:pt>
                <c:pt idx="6">
                  <c:v>217.32466666666664</c:v>
                </c:pt>
                <c:pt idx="7">
                  <c:v>222.87483333333333</c:v>
                </c:pt>
                <c:pt idx="8">
                  <c:v>251.81108333333336</c:v>
                </c:pt>
                <c:pt idx="9">
                  <c:v>269.72908333333334</c:v>
                </c:pt>
                <c:pt idx="10">
                  <c:v>272.84354545454545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0-1848-A283-F531FF39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104832"/>
        <c:axId val="1746315280"/>
      </c:lineChart>
      <c:catAx>
        <c:axId val="189710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315280"/>
        <c:crosses val="autoZero"/>
        <c:auto val="1"/>
        <c:lblAlgn val="ctr"/>
        <c:lblOffset val="100"/>
        <c:noMultiLvlLbl val="0"/>
      </c:catAx>
      <c:valAx>
        <c:axId val="174631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0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Food &amp; Beverage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'Food&amp;Beverage'!$A$2:$A$12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'Food&amp;Beverage'!$P$2:$P$12</c:f>
              <c:numCache>
                <c:formatCode>#0.00</c:formatCode>
                <c:ptCount val="11"/>
                <c:pt idx="0">
                  <c:v>242.1885</c:v>
                </c:pt>
                <c:pt idx="1">
                  <c:v>246.78399999999999</c:v>
                </c:pt>
                <c:pt idx="2">
                  <c:v>247.6875</c:v>
                </c:pt>
                <c:pt idx="3">
                  <c:v>249.54900000000001</c:v>
                </c:pt>
                <c:pt idx="4">
                  <c:v>253.566</c:v>
                </c:pt>
                <c:pt idx="5">
                  <c:v>257.79399999999998</c:v>
                </c:pt>
                <c:pt idx="6">
                  <c:v>265.01049999999998</c:v>
                </c:pt>
                <c:pt idx="7">
                  <c:v>277.90800000000002</c:v>
                </c:pt>
                <c:pt idx="8">
                  <c:v>301.36149999999998</c:v>
                </c:pt>
                <c:pt idx="9">
                  <c:v>319.81899999999996</c:v>
                </c:pt>
                <c:pt idx="10">
                  <c:v>324.78199999999998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EA-1044-AB0E-4E8A0EF21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724208"/>
        <c:axId val="446324144"/>
      </c:lineChart>
      <c:catAx>
        <c:axId val="18557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24144"/>
        <c:crosses val="autoZero"/>
        <c:auto val="1"/>
        <c:lblAlgn val="ctr"/>
        <c:lblOffset val="100"/>
        <c:noMultiLvlLbl val="0"/>
      </c:catAx>
      <c:valAx>
        <c:axId val="4463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2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Food at Home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'Food at Home'!$A$2:$A$14</c:f>
              <c:numCache>
                <c:formatCode>General</c:formatCod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'Food at Home'!$P$2:$P$12</c:f>
              <c:numCache>
                <c:formatCode>#0.00</c:formatCode>
                <c:ptCount val="11"/>
                <c:pt idx="0">
                  <c:v>239.45599999999999</c:v>
                </c:pt>
                <c:pt idx="1">
                  <c:v>242.25</c:v>
                </c:pt>
                <c:pt idx="2">
                  <c:v>239.06508333333332</c:v>
                </c:pt>
                <c:pt idx="3">
                  <c:v>238.58908333333332</c:v>
                </c:pt>
                <c:pt idx="4">
                  <c:v>239.66108333333332</c:v>
                </c:pt>
                <c:pt idx="5">
                  <c:v>241.77449999999999</c:v>
                </c:pt>
                <c:pt idx="6">
                  <c:v>250.23283333333336</c:v>
                </c:pt>
                <c:pt idx="7">
                  <c:v>258.89175</c:v>
                </c:pt>
                <c:pt idx="8">
                  <c:v>288.45108333333332</c:v>
                </c:pt>
                <c:pt idx="9">
                  <c:v>302.92891666666668</c:v>
                </c:pt>
                <c:pt idx="10">
                  <c:v>306.36854545454548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7-FB4C-83E2-EBDD7E997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9015504"/>
        <c:axId val="1807948608"/>
      </c:lineChart>
      <c:catAx>
        <c:axId val="168901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48608"/>
        <c:crosses val="autoZero"/>
        <c:auto val="1"/>
        <c:lblAlgn val="ctr"/>
        <c:lblOffset val="100"/>
        <c:noMultiLvlLbl val="0"/>
      </c:catAx>
      <c:valAx>
        <c:axId val="18079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01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Fruits &amp; Veg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'Fruits&amp;Veg'!$A$2:$A$12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'Fruits&amp;Veg'!$P$2:$P$12</c:f>
              <c:numCache>
                <c:formatCode>#0.00</c:formatCode>
                <c:ptCount val="11"/>
                <c:pt idx="0">
                  <c:v>294.39783333333338</c:v>
                </c:pt>
                <c:pt idx="1">
                  <c:v>293.84016666666668</c:v>
                </c:pt>
                <c:pt idx="2">
                  <c:v>296.27716666666663</c:v>
                </c:pt>
                <c:pt idx="3">
                  <c:v>295.68441666666666</c:v>
                </c:pt>
                <c:pt idx="4">
                  <c:v>297.79325</c:v>
                </c:pt>
                <c:pt idx="5">
                  <c:v>300.85374999999993</c:v>
                </c:pt>
                <c:pt idx="6">
                  <c:v>304.92924999999997</c:v>
                </c:pt>
                <c:pt idx="7">
                  <c:v>314.80874999999997</c:v>
                </c:pt>
                <c:pt idx="8">
                  <c:v>341.67100000000005</c:v>
                </c:pt>
                <c:pt idx="9">
                  <c:v>350.17525000000001</c:v>
                </c:pt>
                <c:pt idx="10">
                  <c:v>352.71999999999997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7-8543-B153-E795E8B32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493568"/>
        <c:axId val="1896987696"/>
      </c:lineChart>
      <c:catAx>
        <c:axId val="20194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87696"/>
        <c:crosses val="autoZero"/>
        <c:auto val="1"/>
        <c:lblAlgn val="ctr"/>
        <c:lblOffset val="100"/>
        <c:noMultiLvlLbl val="0"/>
      </c:catAx>
      <c:valAx>
        <c:axId val="18969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9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Food Away From Home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'Food Away from Home'!$A$2:$A$12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'Food Away from Home'!$P$2:$P$12</c:f>
              <c:numCache>
                <c:formatCode>#0.00</c:formatCode>
                <c:ptCount val="11"/>
                <c:pt idx="0">
                  <c:v>248.98108333333334</c:v>
                </c:pt>
                <c:pt idx="1">
                  <c:v>256.10066666666665</c:v>
                </c:pt>
                <c:pt idx="2">
                  <c:v>262.69533333333328</c:v>
                </c:pt>
                <c:pt idx="3">
                  <c:v>268.82583333333332</c:v>
                </c:pt>
                <c:pt idx="4">
                  <c:v>275.89308333333332</c:v>
                </c:pt>
                <c:pt idx="5">
                  <c:v>284.40966666666668</c:v>
                </c:pt>
                <c:pt idx="6">
                  <c:v>293.94433333333336</c:v>
                </c:pt>
                <c:pt idx="7">
                  <c:v>307.29608333333334</c:v>
                </c:pt>
                <c:pt idx="8">
                  <c:v>330.82200000000006</c:v>
                </c:pt>
                <c:pt idx="9">
                  <c:v>354.25566666666668</c:v>
                </c:pt>
                <c:pt idx="10">
                  <c:v>368.20636363636362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C7-0E4A-909C-E4AEEB7F6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079056"/>
        <c:axId val="418013152"/>
      </c:lineChart>
      <c:catAx>
        <c:axId val="41807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013152"/>
        <c:crosses val="autoZero"/>
        <c:auto val="1"/>
        <c:lblAlgn val="ctr"/>
        <c:lblOffset val="100"/>
        <c:noMultiLvlLbl val="0"/>
      </c:catAx>
      <c:valAx>
        <c:axId val="41801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07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Gas!$N$2:$N$12</c:f>
              <c:numCache>
                <c:formatCode>#0.000</c:formatCode>
                <c:ptCount val="11"/>
                <c:pt idx="0">
                  <c:v>3.3672500000000003</c:v>
                </c:pt>
                <c:pt idx="1">
                  <c:v>2.4477499999999996</c:v>
                </c:pt>
                <c:pt idx="2">
                  <c:v>2.1417499999999996</c:v>
                </c:pt>
                <c:pt idx="3">
                  <c:v>2.4074999999999998</c:v>
                </c:pt>
                <c:pt idx="4">
                  <c:v>2.7353333333333336</c:v>
                </c:pt>
                <c:pt idx="5">
                  <c:v>2.63625</c:v>
                </c:pt>
                <c:pt idx="6">
                  <c:v>2.1744166666666667</c:v>
                </c:pt>
                <c:pt idx="7">
                  <c:v>3.0505</c:v>
                </c:pt>
                <c:pt idx="8">
                  <c:v>4.0936666666666666</c:v>
                </c:pt>
                <c:pt idx="9">
                  <c:v>3.6579166666666665</c:v>
                </c:pt>
                <c:pt idx="10">
                  <c:v>3.4763636363636361</c:v>
                </c:pt>
              </c:numCache>
            </c:numRef>
          </c:xVal>
          <c:yVal>
            <c:numRef>
              <c:f>'Food Away from Home'!$P$2:$P$12</c:f>
              <c:numCache>
                <c:formatCode>#0.00</c:formatCode>
                <c:ptCount val="11"/>
                <c:pt idx="0">
                  <c:v>248.98108333333334</c:v>
                </c:pt>
                <c:pt idx="1">
                  <c:v>256.10066666666665</c:v>
                </c:pt>
                <c:pt idx="2">
                  <c:v>262.69533333333328</c:v>
                </c:pt>
                <c:pt idx="3">
                  <c:v>268.82583333333332</c:v>
                </c:pt>
                <c:pt idx="4">
                  <c:v>275.89308333333332</c:v>
                </c:pt>
                <c:pt idx="5">
                  <c:v>284.40966666666668</c:v>
                </c:pt>
                <c:pt idx="6">
                  <c:v>293.94433333333336</c:v>
                </c:pt>
                <c:pt idx="7">
                  <c:v>307.29608333333334</c:v>
                </c:pt>
                <c:pt idx="8">
                  <c:v>330.82200000000006</c:v>
                </c:pt>
                <c:pt idx="9">
                  <c:v>354.25566666666668</c:v>
                </c:pt>
                <c:pt idx="10">
                  <c:v>368.20636363636362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F-284C-A3B6-C74F9FC6E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708271"/>
        <c:axId val="478026896"/>
      </c:scatterChart>
      <c:valAx>
        <c:axId val="1040708271"/>
        <c:scaling>
          <c:orientation val="minMax"/>
          <c:min val="1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26896"/>
        <c:crosses val="autoZero"/>
        <c:crossBetween val="midCat"/>
      </c:valAx>
      <c:valAx>
        <c:axId val="478026896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70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Full Service Meal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'Full Service Meal'!$A$2:$A$12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'Full Service Meal'!$P$2:$P$12</c:f>
              <c:numCache>
                <c:formatCode>#0.00</c:formatCode>
                <c:ptCount val="11"/>
                <c:pt idx="0">
                  <c:v>155.26891666666668</c:v>
                </c:pt>
                <c:pt idx="1">
                  <c:v>159.39400000000001</c:v>
                </c:pt>
                <c:pt idx="2">
                  <c:v>163.12541666666667</c:v>
                </c:pt>
                <c:pt idx="3">
                  <c:v>167.05866666666668</c:v>
                </c:pt>
                <c:pt idx="4">
                  <c:v>170.98058333333333</c:v>
                </c:pt>
                <c:pt idx="5">
                  <c:v>176.39866666666663</c:v>
                </c:pt>
                <c:pt idx="6">
                  <c:v>181.50325000000001</c:v>
                </c:pt>
                <c:pt idx="7">
                  <c:v>189.68108333333336</c:v>
                </c:pt>
                <c:pt idx="8">
                  <c:v>205.82466666666667</c:v>
                </c:pt>
                <c:pt idx="9">
                  <c:v>218.35283333333336</c:v>
                </c:pt>
                <c:pt idx="10">
                  <c:v>226.12145454545453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0-E748-A038-B332B4D08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961840"/>
        <c:axId val="470840272"/>
      </c:lineChart>
      <c:catAx>
        <c:axId val="47096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40272"/>
        <c:crosses val="autoZero"/>
        <c:auto val="1"/>
        <c:lblAlgn val="ctr"/>
        <c:lblOffset val="100"/>
        <c:noMultiLvlLbl val="0"/>
      </c:catAx>
      <c:valAx>
        <c:axId val="4708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96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Meat &amp; Poultry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'Meat&amp;Poultry'!$A$2:$A$12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'Meat&amp;Poultry'!$P$2:$P$12</c:f>
              <c:numCache>
                <c:formatCode>#0.00</c:formatCode>
                <c:ptCount val="11"/>
                <c:pt idx="0">
                  <c:v>250.60649999999998</c:v>
                </c:pt>
                <c:pt idx="1">
                  <c:v>258.14</c:v>
                </c:pt>
                <c:pt idx="2">
                  <c:v>246.69749999999999</c:v>
                </c:pt>
                <c:pt idx="3">
                  <c:v>245.50799999999998</c:v>
                </c:pt>
                <c:pt idx="4">
                  <c:v>247.30549999999999</c:v>
                </c:pt>
                <c:pt idx="5">
                  <c:v>250.53100000000001</c:v>
                </c:pt>
                <c:pt idx="6">
                  <c:v>258.69</c:v>
                </c:pt>
                <c:pt idx="7">
                  <c:v>281.76300000000003</c:v>
                </c:pt>
                <c:pt idx="8">
                  <c:v>309.44799999999998</c:v>
                </c:pt>
                <c:pt idx="9">
                  <c:v>321.44</c:v>
                </c:pt>
                <c:pt idx="10">
                  <c:v>319.75200000000001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39-2049-90B8-44BD4673F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120496"/>
        <c:axId val="476114512"/>
      </c:lineChart>
      <c:catAx>
        <c:axId val="4761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114512"/>
        <c:crosses val="autoZero"/>
        <c:auto val="1"/>
        <c:lblAlgn val="ctr"/>
        <c:lblOffset val="100"/>
        <c:noMultiLvlLbl val="0"/>
      </c:catAx>
      <c:valAx>
        <c:axId val="4761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12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6</xdr:row>
      <xdr:rowOff>152400</xdr:rowOff>
    </xdr:from>
    <xdr:to>
      <xdr:col>29</xdr:col>
      <xdr:colOff>469900</xdr:colOff>
      <xdr:row>54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26A790-9495-8E43-A1BF-40A2E907C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558799</xdr:colOff>
      <xdr:row>57</xdr:row>
      <xdr:rowOff>152399</xdr:rowOff>
    </xdr:from>
    <xdr:to>
      <xdr:col>22</xdr:col>
      <xdr:colOff>635000</xdr:colOff>
      <xdr:row>95</xdr:row>
      <xdr:rowOff>76969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2D4F3-2BCD-6B4D-823C-40B952804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</xdr:colOff>
      <xdr:row>18</xdr:row>
      <xdr:rowOff>88900</xdr:rowOff>
    </xdr:from>
    <xdr:to>
      <xdr:col>10</xdr:col>
      <xdr:colOff>304800</xdr:colOff>
      <xdr:row>36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D94EC-C338-C6D3-E4A2-0535508F3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13</xdr:row>
      <xdr:rowOff>12700</xdr:rowOff>
    </xdr:from>
    <xdr:to>
      <xdr:col>7</xdr:col>
      <xdr:colOff>499533</xdr:colOff>
      <xdr:row>26</xdr:row>
      <xdr:rowOff>81374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D5BC52-16E2-354D-9319-19D433C00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7</xdr:col>
      <xdr:colOff>444500</xdr:colOff>
      <xdr:row>27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DD793D-3F95-BA40-8B2E-0B2335945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12</xdr:row>
      <xdr:rowOff>190500</xdr:rowOff>
    </xdr:from>
    <xdr:to>
      <xdr:col>7</xdr:col>
      <xdr:colOff>257149</xdr:colOff>
      <xdr:row>26</xdr:row>
      <xdr:rowOff>65284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411BC-46B6-954F-B7BE-5AA00DDB3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18</xdr:row>
      <xdr:rowOff>139700</xdr:rowOff>
    </xdr:from>
    <xdr:to>
      <xdr:col>15</xdr:col>
      <xdr:colOff>38100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A113B-EDB3-968E-B6D4-4BB67795B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18</xdr:row>
      <xdr:rowOff>139700</xdr:rowOff>
    </xdr:from>
    <xdr:to>
      <xdr:col>15</xdr:col>
      <xdr:colOff>38100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F5DF2-4365-A45A-C7CF-DD15A34E6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18</xdr:row>
      <xdr:rowOff>139700</xdr:rowOff>
    </xdr:from>
    <xdr:to>
      <xdr:col>15</xdr:col>
      <xdr:colOff>38100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DC2345-A472-849F-B88D-2D57756F4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18</xdr:row>
      <xdr:rowOff>139700</xdr:rowOff>
    </xdr:from>
    <xdr:to>
      <xdr:col>15</xdr:col>
      <xdr:colOff>38100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47ED5-B999-5547-8684-4AE6BD2D7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18</xdr:row>
      <xdr:rowOff>139700</xdr:rowOff>
    </xdr:from>
    <xdr:to>
      <xdr:col>15</xdr:col>
      <xdr:colOff>38100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11C6D-211B-2C0A-8E96-060260091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18</xdr:row>
      <xdr:rowOff>139700</xdr:rowOff>
    </xdr:from>
    <xdr:to>
      <xdr:col>15</xdr:col>
      <xdr:colOff>38100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76065-020D-DA4C-2177-9DD45AE16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419100</xdr:colOff>
      <xdr:row>18</xdr:row>
      <xdr:rowOff>139700</xdr:rowOff>
    </xdr:from>
    <xdr:to>
      <xdr:col>15</xdr:col>
      <xdr:colOff>38100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C410BB-B58F-9D73-DE4D-DF8B127B9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18</xdr:row>
      <xdr:rowOff>139700</xdr:rowOff>
    </xdr:from>
    <xdr:to>
      <xdr:col>15</xdr:col>
      <xdr:colOff>38100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D49148-BFB3-F171-9936-55D99FB7A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18</xdr:row>
      <xdr:rowOff>139700</xdr:rowOff>
    </xdr:from>
    <xdr:to>
      <xdr:col>15</xdr:col>
      <xdr:colOff>38100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23EC01-66FA-1D29-4C62-377A7EBA6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ika/Downloads/Winter_Project_Anika_2024/Cereals_Bakery_2014_2024_old.xlsx" TargetMode="External"/><Relationship Id="rId1" Type="http://schemas.openxmlformats.org/officeDocument/2006/relationships/externalLinkPath" Target="Cereals_Bakery_2014_2024_ol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ika/Downloads/Winter_Project_Anika_2024/Diary_2014_2024.xlsx" TargetMode="External"/><Relationship Id="rId1" Type="http://schemas.openxmlformats.org/officeDocument/2006/relationships/externalLinkPath" Target="Diary_2014_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ika/Downloads/Winter_Project_Anika_2024/Non_Alcoholic_2014_2024.xlsx" TargetMode="External"/><Relationship Id="rId1" Type="http://schemas.openxmlformats.org/officeDocument/2006/relationships/externalLinkPath" Target="Non_Alcoholic_2014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S Data Series"/>
      <sheetName val="Sheet1"/>
    </sheetNames>
    <sheetDataSet>
      <sheetData sheetId="0">
        <row r="13">
          <cell r="A13">
            <v>2014</v>
          </cell>
          <cell r="P13">
            <v>271.05616666666668</v>
          </cell>
        </row>
        <row r="14">
          <cell r="A14">
            <v>2015</v>
          </cell>
          <cell r="P14">
            <v>274.05558333333335</v>
          </cell>
        </row>
        <row r="15">
          <cell r="A15">
            <v>2016</v>
          </cell>
          <cell r="P15">
            <v>273.10858333333334</v>
          </cell>
        </row>
        <row r="16">
          <cell r="A16">
            <v>2017</v>
          </cell>
          <cell r="P16">
            <v>271.67816666666675</v>
          </cell>
        </row>
        <row r="17">
          <cell r="A17">
            <v>2018</v>
          </cell>
          <cell r="P17">
            <v>272.78058333333337</v>
          </cell>
        </row>
        <row r="18">
          <cell r="A18">
            <v>2019</v>
          </cell>
          <cell r="P18">
            <v>276.56133333333338</v>
          </cell>
        </row>
        <row r="19">
          <cell r="A19">
            <v>2020</v>
          </cell>
          <cell r="P19">
            <v>282.64508333333339</v>
          </cell>
        </row>
        <row r="20">
          <cell r="A20">
            <v>2021</v>
          </cell>
          <cell r="P20">
            <v>289.07866666666666</v>
          </cell>
        </row>
        <row r="21">
          <cell r="A21">
            <v>2022</v>
          </cell>
          <cell r="P21">
            <v>326.72941666666668</v>
          </cell>
        </row>
        <row r="22">
          <cell r="A22">
            <v>2023</v>
          </cell>
          <cell r="P22">
            <v>354.2686666666666</v>
          </cell>
        </row>
        <row r="23">
          <cell r="A23">
            <v>2024</v>
          </cell>
          <cell r="P23">
            <v>356.09290909090913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S Data Series"/>
    </sheetNames>
    <sheetDataSet>
      <sheetData sheetId="0">
        <row r="2">
          <cell r="A2">
            <v>2014</v>
          </cell>
          <cell r="P2">
            <v>225.30974999999992</v>
          </cell>
        </row>
        <row r="3">
          <cell r="A3">
            <v>2015</v>
          </cell>
          <cell r="P3">
            <v>222.41783333333331</v>
          </cell>
        </row>
        <row r="4">
          <cell r="A4">
            <v>2016</v>
          </cell>
          <cell r="P4">
            <v>217.30608333333339</v>
          </cell>
        </row>
        <row r="5">
          <cell r="A5">
            <v>2017</v>
          </cell>
          <cell r="P5">
            <v>217.45466666666667</v>
          </cell>
        </row>
        <row r="6">
          <cell r="A6">
            <v>2018</v>
          </cell>
          <cell r="P6">
            <v>216.4616666666667</v>
          </cell>
        </row>
        <row r="7">
          <cell r="A7">
            <v>2019</v>
          </cell>
          <cell r="P7">
            <v>218.69341666666665</v>
          </cell>
        </row>
        <row r="8">
          <cell r="A8">
            <v>2020</v>
          </cell>
          <cell r="P8">
            <v>228.32183333333342</v>
          </cell>
        </row>
        <row r="9">
          <cell r="A9">
            <v>2021</v>
          </cell>
          <cell r="P9">
            <v>231.42225000000005</v>
          </cell>
        </row>
        <row r="10">
          <cell r="A10">
            <v>2022</v>
          </cell>
          <cell r="P10">
            <v>259.18433333333337</v>
          </cell>
        </row>
        <row r="11">
          <cell r="A11">
            <v>2023</v>
          </cell>
          <cell r="P11">
            <v>269.52775000000003</v>
          </cell>
        </row>
        <row r="12">
          <cell r="A12">
            <v>2024</v>
          </cell>
          <cell r="P12">
            <v>268.6498181818182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S Data Series"/>
    </sheetNames>
    <sheetDataSet>
      <sheetData sheetId="0">
        <row r="13">
          <cell r="A13">
            <v>2014</v>
          </cell>
          <cell r="P13">
            <v>166.01599999999999</v>
          </cell>
        </row>
        <row r="14">
          <cell r="A14">
            <v>2015</v>
          </cell>
          <cell r="P14">
            <v>167.89558333333335</v>
          </cell>
        </row>
        <row r="15">
          <cell r="A15">
            <v>2016</v>
          </cell>
          <cell r="P15">
            <v>167.26649999999998</v>
          </cell>
        </row>
        <row r="16">
          <cell r="A16">
            <v>2017</v>
          </cell>
          <cell r="P16">
            <v>167.56116666666668</v>
          </cell>
        </row>
        <row r="17">
          <cell r="A17">
            <v>2018</v>
          </cell>
          <cell r="P17">
            <v>167.58949999999999</v>
          </cell>
        </row>
        <row r="18">
          <cell r="A18">
            <v>2019</v>
          </cell>
          <cell r="P18">
            <v>170.83533333333332</v>
          </cell>
        </row>
        <row r="19">
          <cell r="A19">
            <v>2020</v>
          </cell>
          <cell r="P19">
            <v>176.92724999999999</v>
          </cell>
        </row>
        <row r="20">
          <cell r="A20">
            <v>2021</v>
          </cell>
          <cell r="P20">
            <v>181.83766666666665</v>
          </cell>
        </row>
        <row r="21">
          <cell r="A21">
            <v>2022</v>
          </cell>
          <cell r="P21">
            <v>201.86433333333335</v>
          </cell>
        </row>
        <row r="22">
          <cell r="A22">
            <v>2023</v>
          </cell>
          <cell r="P22">
            <v>215.99283333333332</v>
          </cell>
        </row>
        <row r="23">
          <cell r="A23">
            <v>2024</v>
          </cell>
          <cell r="P23">
            <v>220.34509090909094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B08C-7884-1844-B931-94F31B58E620}">
  <dimension ref="A1"/>
  <sheetViews>
    <sheetView tabSelected="1" topLeftCell="D6" zoomScale="66" zoomScaleNormal="100" workbookViewId="0">
      <selection activeCell="G65" sqref="G6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540B-462C-9948-9E44-2436C5670BF5}">
  <dimension ref="A1:P12"/>
  <sheetViews>
    <sheetView topLeftCell="A18" zoomScale="139" zoomScaleNormal="120" workbookViewId="0">
      <selection activeCell="L35" sqref="L35"/>
    </sheetView>
  </sheetViews>
  <sheetFormatPr baseColWidth="10" defaultRowHeight="16" x14ac:dyDescent="0.2"/>
  <sheetData>
    <row r="1" spans="1:16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ht="17" thickTop="1" x14ac:dyDescent="0.2">
      <c r="A2" s="3">
        <v>2014</v>
      </c>
      <c r="B2" s="4">
        <v>3.32</v>
      </c>
      <c r="C2" s="4">
        <v>3.3639999999999999</v>
      </c>
      <c r="D2" s="4">
        <v>3.532</v>
      </c>
      <c r="E2" s="4">
        <v>3.6589999999999998</v>
      </c>
      <c r="F2" s="4">
        <v>3.6909999999999998</v>
      </c>
      <c r="G2" s="4">
        <v>3.6949999999999998</v>
      </c>
      <c r="H2" s="4">
        <v>3.633</v>
      </c>
      <c r="I2" s="4">
        <v>3.4809999999999999</v>
      </c>
      <c r="J2" s="4">
        <v>3.403</v>
      </c>
      <c r="K2" s="4">
        <v>3.1819999999999999</v>
      </c>
      <c r="L2" s="4">
        <v>2.887</v>
      </c>
      <c r="M2" s="4">
        <v>2.56</v>
      </c>
      <c r="N2" s="8">
        <f>AVERAGE(B2:M2)</f>
        <v>3.3672500000000003</v>
      </c>
      <c r="P2">
        <f>CORREL('Cereals&amp;Bakery'!P2:P12,Gas!N2:N12)</f>
        <v>0.73740405275201881</v>
      </c>
    </row>
    <row r="3" spans="1:16" x14ac:dyDescent="0.2">
      <c r="A3" s="3">
        <v>2015</v>
      </c>
      <c r="B3" s="4">
        <v>2.11</v>
      </c>
      <c r="C3" s="4">
        <v>2.2490000000000001</v>
      </c>
      <c r="D3" s="4">
        <v>2.4830000000000001</v>
      </c>
      <c r="E3" s="4">
        <v>2.4849999999999999</v>
      </c>
      <c r="F3" s="4">
        <v>2.7749999999999999</v>
      </c>
      <c r="G3" s="4">
        <v>2.8319999999999999</v>
      </c>
      <c r="H3" s="4">
        <v>2.8319999999999999</v>
      </c>
      <c r="I3" s="4">
        <v>2.6789999999999998</v>
      </c>
      <c r="J3" s="4">
        <v>2.3940000000000001</v>
      </c>
      <c r="K3" s="4">
        <v>2.2890000000000001</v>
      </c>
      <c r="L3" s="4">
        <v>2.1850000000000001</v>
      </c>
      <c r="M3" s="4">
        <v>2.06</v>
      </c>
      <c r="N3" s="8">
        <f t="shared" ref="N3:N12" si="0">AVERAGE(B3:M3)</f>
        <v>2.4477499999999996</v>
      </c>
      <c r="P3">
        <f>CORREL('Food Away from Home'!P2:P12,Gas!N3:N13)</f>
        <v>0.7767797181293038</v>
      </c>
    </row>
    <row r="4" spans="1:16" x14ac:dyDescent="0.2">
      <c r="A4" s="3">
        <v>2016</v>
      </c>
      <c r="B4" s="4">
        <v>1.9670000000000001</v>
      </c>
      <c r="C4" s="4">
        <v>1.7669999999999999</v>
      </c>
      <c r="D4" s="4">
        <v>1.958</v>
      </c>
      <c r="E4" s="4">
        <v>2.1339999999999999</v>
      </c>
      <c r="F4" s="4">
        <v>2.2639999999999998</v>
      </c>
      <c r="G4" s="4">
        <v>2.363</v>
      </c>
      <c r="H4" s="4">
        <v>2.2250000000000001</v>
      </c>
      <c r="I4" s="4">
        <v>2.1549999999999998</v>
      </c>
      <c r="J4" s="4">
        <v>2.2080000000000002</v>
      </c>
      <c r="K4" s="4">
        <v>2.2429999999999999</v>
      </c>
      <c r="L4" s="4">
        <v>2.1869999999999998</v>
      </c>
      <c r="M4" s="4">
        <v>2.23</v>
      </c>
      <c r="N4" s="8">
        <f t="shared" si="0"/>
        <v>2.1417499999999996</v>
      </c>
      <c r="P4">
        <f>CORREL('Fruits&amp;Veg'!P2:P12,Gas!N2:N12)</f>
        <v>0.77594831628516503</v>
      </c>
    </row>
    <row r="5" spans="1:16" x14ac:dyDescent="0.2">
      <c r="A5" s="3">
        <v>2017</v>
      </c>
      <c r="B5" s="4">
        <v>2.351</v>
      </c>
      <c r="C5" s="4">
        <v>2.2989999999999999</v>
      </c>
      <c r="D5" s="4">
        <v>2.323</v>
      </c>
      <c r="E5" s="4">
        <v>2.4180000000000001</v>
      </c>
      <c r="F5" s="4">
        <v>2.3860000000000001</v>
      </c>
      <c r="G5" s="4">
        <v>2.3370000000000002</v>
      </c>
      <c r="H5" s="4">
        <v>2.2810000000000001</v>
      </c>
      <c r="I5" s="4">
        <v>2.3740000000000001</v>
      </c>
      <c r="J5" s="4">
        <v>2.63</v>
      </c>
      <c r="K5" s="4">
        <v>2.484</v>
      </c>
      <c r="L5" s="4">
        <v>2.548</v>
      </c>
      <c r="M5" s="4">
        <v>2.4590000000000001</v>
      </c>
      <c r="N5" s="8">
        <f t="shared" si="0"/>
        <v>2.4074999999999998</v>
      </c>
      <c r="P5">
        <f>CORREL('Meat&amp;Poultry'!P2:P12,Gas!N2:N12)</f>
        <v>0.79721334965767776</v>
      </c>
    </row>
    <row r="6" spans="1:16" x14ac:dyDescent="0.2">
      <c r="A6" s="3">
        <v>2018</v>
      </c>
      <c r="B6" s="4">
        <v>2.5390000000000001</v>
      </c>
      <c r="C6" s="4">
        <v>2.5750000000000002</v>
      </c>
      <c r="D6" s="4">
        <v>2.5720000000000001</v>
      </c>
      <c r="E6" s="4">
        <v>2.7370000000000001</v>
      </c>
      <c r="F6" s="4">
        <v>2.907</v>
      </c>
      <c r="G6" s="4">
        <v>2.9140000000000001</v>
      </c>
      <c r="H6" s="4">
        <v>2.8730000000000002</v>
      </c>
      <c r="I6" s="4">
        <v>2.8620000000000001</v>
      </c>
      <c r="J6" s="4">
        <v>2.8730000000000002</v>
      </c>
      <c r="K6" s="4">
        <v>2.887</v>
      </c>
      <c r="L6" s="4">
        <v>2.6709999999999998</v>
      </c>
      <c r="M6" s="4">
        <v>2.4140000000000001</v>
      </c>
      <c r="N6" s="8">
        <f t="shared" si="0"/>
        <v>2.7353333333333336</v>
      </c>
    </row>
    <row r="7" spans="1:16" x14ac:dyDescent="0.2">
      <c r="A7" s="3">
        <v>2019</v>
      </c>
      <c r="B7" s="4">
        <v>2.2890000000000001</v>
      </c>
      <c r="C7" s="4">
        <v>2.3530000000000002</v>
      </c>
      <c r="D7" s="4">
        <v>2.5640000000000001</v>
      </c>
      <c r="E7" s="4">
        <v>2.835</v>
      </c>
      <c r="F7" s="4">
        <v>2.9009999999999998</v>
      </c>
      <c r="G7" s="4">
        <v>2.7519999999999998</v>
      </c>
      <c r="H7" s="4">
        <v>2.7759999999999998</v>
      </c>
      <c r="I7" s="4">
        <v>2.6549999999999998</v>
      </c>
      <c r="J7" s="4">
        <v>2.63</v>
      </c>
      <c r="K7" s="4">
        <v>2.673</v>
      </c>
      <c r="L7" s="4">
        <v>2.62</v>
      </c>
      <c r="M7" s="4">
        <v>2.5870000000000002</v>
      </c>
      <c r="N7" s="8">
        <f t="shared" si="0"/>
        <v>2.63625</v>
      </c>
    </row>
    <row r="8" spans="1:16" x14ac:dyDescent="0.2">
      <c r="A8" s="3">
        <v>2020</v>
      </c>
      <c r="B8" s="4">
        <v>2.5670000000000002</v>
      </c>
      <c r="C8" s="4">
        <v>2.4649999999999999</v>
      </c>
      <c r="D8" s="4">
        <v>2.2669999999999999</v>
      </c>
      <c r="E8" s="4">
        <v>1.8759999999999999</v>
      </c>
      <c r="F8" s="4">
        <v>1.879</v>
      </c>
      <c r="G8" s="4">
        <v>2.0760000000000001</v>
      </c>
      <c r="H8" s="4">
        <v>2.1760000000000002</v>
      </c>
      <c r="I8" s="4">
        <v>2.177</v>
      </c>
      <c r="J8" s="4">
        <v>2.1930000000000001</v>
      </c>
      <c r="K8" s="4">
        <v>2.1589999999999998</v>
      </c>
      <c r="L8" s="4">
        <v>2.09</v>
      </c>
      <c r="M8" s="4">
        <v>2.1680000000000001</v>
      </c>
      <c r="N8" s="8">
        <f t="shared" si="0"/>
        <v>2.1744166666666667</v>
      </c>
    </row>
    <row r="9" spans="1:16" x14ac:dyDescent="0.2">
      <c r="A9" s="3">
        <v>2021</v>
      </c>
      <c r="B9" s="4">
        <v>2.3260000000000001</v>
      </c>
      <c r="C9" s="4">
        <v>2.496</v>
      </c>
      <c r="D9" s="4">
        <v>2.7909999999999999</v>
      </c>
      <c r="E9" s="4">
        <v>2.839</v>
      </c>
      <c r="F9" s="4">
        <v>2.972</v>
      </c>
      <c r="G9" s="4">
        <v>3.1539999999999999</v>
      </c>
      <c r="H9" s="4">
        <v>3.2330000000000001</v>
      </c>
      <c r="I9" s="4">
        <v>3.2549999999999999</v>
      </c>
      <c r="J9" s="4">
        <v>3.2650000000000001</v>
      </c>
      <c r="K9" s="4">
        <v>3.3849999999999998</v>
      </c>
      <c r="L9" s="4">
        <v>3.4820000000000002</v>
      </c>
      <c r="M9" s="4">
        <v>3.4079999999999999</v>
      </c>
      <c r="N9" s="8">
        <f t="shared" si="0"/>
        <v>3.0505</v>
      </c>
    </row>
    <row r="10" spans="1:16" x14ac:dyDescent="0.2">
      <c r="A10" s="3">
        <v>2022</v>
      </c>
      <c r="B10" s="4">
        <v>3.4129999999999998</v>
      </c>
      <c r="C10" s="4">
        <v>3.5920000000000001</v>
      </c>
      <c r="D10" s="4">
        <v>4.3120000000000003</v>
      </c>
      <c r="E10" s="4">
        <v>4.2709999999999999</v>
      </c>
      <c r="F10" s="4">
        <v>4.6040000000000001</v>
      </c>
      <c r="G10" s="4">
        <v>5.0579999999999998</v>
      </c>
      <c r="H10" s="4">
        <v>4.6669999999999998</v>
      </c>
      <c r="I10" s="4">
        <v>4.101</v>
      </c>
      <c r="J10" s="4">
        <v>3.8809999999999998</v>
      </c>
      <c r="K10" s="4">
        <v>4.016</v>
      </c>
      <c r="L10" s="4">
        <v>3.8530000000000002</v>
      </c>
      <c r="M10" s="4">
        <v>3.3559999999999999</v>
      </c>
      <c r="N10" s="8">
        <f t="shared" si="0"/>
        <v>4.0936666666666666</v>
      </c>
    </row>
    <row r="11" spans="1:16" x14ac:dyDescent="0.2">
      <c r="A11" s="3">
        <v>2023</v>
      </c>
      <c r="B11" s="4">
        <v>3.452</v>
      </c>
      <c r="C11" s="4">
        <v>3.5139999999999998</v>
      </c>
      <c r="D11" s="4">
        <v>3.5510000000000002</v>
      </c>
      <c r="E11" s="4">
        <v>3.7349999999999999</v>
      </c>
      <c r="F11" s="4">
        <v>3.6850000000000001</v>
      </c>
      <c r="G11" s="4">
        <v>3.7120000000000002</v>
      </c>
      <c r="H11" s="4">
        <v>3.7320000000000002</v>
      </c>
      <c r="I11" s="4">
        <v>3.9550000000000001</v>
      </c>
      <c r="J11" s="4">
        <v>3.988</v>
      </c>
      <c r="K11" s="4">
        <v>3.782</v>
      </c>
      <c r="L11" s="4">
        <v>3.5</v>
      </c>
      <c r="M11" s="4">
        <v>3.2890000000000001</v>
      </c>
      <c r="N11" s="8">
        <f t="shared" si="0"/>
        <v>3.6579166666666665</v>
      </c>
    </row>
    <row r="12" spans="1:16" x14ac:dyDescent="0.2">
      <c r="A12" s="3">
        <v>2024</v>
      </c>
      <c r="B12" s="4">
        <v>3.2210000000000001</v>
      </c>
      <c r="C12" s="4">
        <v>3.359</v>
      </c>
      <c r="D12" s="4">
        <v>3.581</v>
      </c>
      <c r="E12" s="4">
        <v>3.7759999999999998</v>
      </c>
      <c r="F12" s="4">
        <v>3.7549999999999999</v>
      </c>
      <c r="G12" s="4">
        <v>3.601</v>
      </c>
      <c r="H12" s="4">
        <v>3.6219999999999999</v>
      </c>
      <c r="I12" s="4">
        <v>3.5209999999999999</v>
      </c>
      <c r="J12" s="4">
        <v>3.3439999999999999</v>
      </c>
      <c r="K12" s="4">
        <v>3.2789999999999999</v>
      </c>
      <c r="L12" s="4">
        <v>3.181</v>
      </c>
      <c r="N12" s="8">
        <f t="shared" si="0"/>
        <v>3.4763636363636361</v>
      </c>
    </row>
  </sheetData>
  <pageMargins left="0.7" right="0.7" top="0.75" bottom="0.75" header="0.3" footer="0.3"/>
  <ignoredErrors>
    <ignoredError sqref="N2:N1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FD32-0278-EE4F-99A2-46B4B549F4AC}">
  <dimension ref="A1:R14"/>
  <sheetViews>
    <sheetView workbookViewId="0">
      <selection activeCell="R15" sqref="R15"/>
    </sheetView>
  </sheetViews>
  <sheetFormatPr baseColWidth="10" defaultRowHeight="16" x14ac:dyDescent="0.2"/>
  <sheetData>
    <row r="1" spans="1:18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 ht="17" thickTop="1" x14ac:dyDescent="0.2">
      <c r="A2" s="3">
        <v>2014</v>
      </c>
      <c r="B2" s="4">
        <v>271.15100000000001</v>
      </c>
      <c r="C2" s="4">
        <v>270.58300000000003</v>
      </c>
      <c r="D2" s="4">
        <v>270.66000000000003</v>
      </c>
      <c r="E2" s="4">
        <v>271.005</v>
      </c>
      <c r="F2" s="4">
        <v>271.36200000000002</v>
      </c>
      <c r="G2" s="4">
        <v>270.86</v>
      </c>
      <c r="H2" s="4">
        <v>271.99299999999999</v>
      </c>
      <c r="I2" s="4">
        <v>272.108</v>
      </c>
      <c r="J2" s="4">
        <v>270.66000000000003</v>
      </c>
      <c r="K2" s="4">
        <v>271.31299999999999</v>
      </c>
      <c r="L2" s="4">
        <v>270.34399999999999</v>
      </c>
      <c r="M2" s="4">
        <v>270.63499999999999</v>
      </c>
      <c r="P2" s="5">
        <f>AVERAGE(B2:M2)</f>
        <v>271.05616666666668</v>
      </c>
      <c r="Q2" s="6">
        <f>P12-P2</f>
        <v>85.036742424242448</v>
      </c>
      <c r="R2" s="7">
        <f>Q2/P2</f>
        <v>0.31372369597780453</v>
      </c>
    </row>
    <row r="3" spans="1:18" x14ac:dyDescent="0.2">
      <c r="A3" s="3">
        <v>2015</v>
      </c>
      <c r="B3" s="4">
        <v>273.589</v>
      </c>
      <c r="C3" s="4">
        <v>273.05200000000002</v>
      </c>
      <c r="D3" s="4">
        <v>273.81200000000001</v>
      </c>
      <c r="E3" s="4">
        <v>273.36599999999999</v>
      </c>
      <c r="F3" s="4">
        <v>273.59500000000003</v>
      </c>
      <c r="G3" s="4">
        <v>274.47899999999998</v>
      </c>
      <c r="H3" s="4">
        <v>275.52600000000001</v>
      </c>
      <c r="I3" s="4">
        <v>274.96800000000002</v>
      </c>
      <c r="J3" s="4">
        <v>273.52999999999997</v>
      </c>
      <c r="K3" s="4">
        <v>275.75299999999999</v>
      </c>
      <c r="L3" s="4">
        <v>273.75200000000001</v>
      </c>
      <c r="M3" s="4">
        <v>273.245</v>
      </c>
      <c r="P3" s="5">
        <f t="shared" ref="P3:P12" si="0">AVERAGE(B3:M3)</f>
        <v>274.05558333333335</v>
      </c>
    </row>
    <row r="4" spans="1:18" x14ac:dyDescent="0.2">
      <c r="A4" s="3">
        <v>2016</v>
      </c>
      <c r="B4" s="4">
        <v>274.58</v>
      </c>
      <c r="C4" s="4">
        <v>274.80099999999999</v>
      </c>
      <c r="D4" s="4">
        <v>273.16199999999998</v>
      </c>
      <c r="E4" s="4">
        <v>273.92399999999998</v>
      </c>
      <c r="F4" s="4">
        <v>273.07400000000001</v>
      </c>
      <c r="G4" s="4">
        <v>273.37900000000002</v>
      </c>
      <c r="H4" s="4">
        <v>273.41800000000001</v>
      </c>
      <c r="I4" s="4">
        <v>273.10399999999998</v>
      </c>
      <c r="J4" s="4">
        <v>272.089</v>
      </c>
      <c r="K4" s="4">
        <v>272.50200000000001</v>
      </c>
      <c r="L4" s="4">
        <v>271.89600000000002</v>
      </c>
      <c r="M4" s="4">
        <v>271.37400000000002</v>
      </c>
      <c r="P4" s="5">
        <f t="shared" si="0"/>
        <v>273.10858333333334</v>
      </c>
    </row>
    <row r="5" spans="1:18" x14ac:dyDescent="0.2">
      <c r="A5" s="3">
        <v>2017</v>
      </c>
      <c r="B5" s="4">
        <v>272.92200000000003</v>
      </c>
      <c r="C5" s="4">
        <v>271.70800000000003</v>
      </c>
      <c r="D5" s="4">
        <v>272.17399999999998</v>
      </c>
      <c r="E5" s="4">
        <v>271.86500000000001</v>
      </c>
      <c r="F5" s="4">
        <v>272.44499999999999</v>
      </c>
      <c r="G5" s="4">
        <v>272.42899999999997</v>
      </c>
      <c r="H5" s="4">
        <v>271.95</v>
      </c>
      <c r="I5" s="4">
        <v>272.54399999999998</v>
      </c>
      <c r="J5" s="4">
        <v>271.75</v>
      </c>
      <c r="K5" s="4">
        <v>270.858</v>
      </c>
      <c r="L5" s="4">
        <v>269.64600000000002</v>
      </c>
      <c r="M5" s="4">
        <v>269.84699999999998</v>
      </c>
      <c r="P5" s="5">
        <f t="shared" si="0"/>
        <v>271.67816666666675</v>
      </c>
    </row>
    <row r="6" spans="1:18" x14ac:dyDescent="0.2">
      <c r="A6" s="3">
        <v>2018</v>
      </c>
      <c r="B6" s="4">
        <v>272.27300000000002</v>
      </c>
      <c r="C6" s="4">
        <v>271.245</v>
      </c>
      <c r="D6" s="4">
        <v>272.34500000000003</v>
      </c>
      <c r="E6" s="4">
        <v>271.76600000000002</v>
      </c>
      <c r="F6" s="4">
        <v>271.91000000000003</v>
      </c>
      <c r="G6" s="4">
        <v>273.68200000000002</v>
      </c>
      <c r="H6" s="4">
        <v>273.25799999999998</v>
      </c>
      <c r="I6" s="4">
        <v>273.33800000000002</v>
      </c>
      <c r="J6" s="4">
        <v>273.72899999999998</v>
      </c>
      <c r="K6" s="4">
        <v>272.26</v>
      </c>
      <c r="L6" s="4">
        <v>273.24</v>
      </c>
      <c r="M6" s="4">
        <v>274.32100000000003</v>
      </c>
      <c r="N6" s="4">
        <v>272.20400000000001</v>
      </c>
      <c r="O6" s="4">
        <v>273.358</v>
      </c>
      <c r="P6" s="5">
        <f t="shared" si="0"/>
        <v>272.78058333333337</v>
      </c>
    </row>
    <row r="7" spans="1:18" x14ac:dyDescent="0.2">
      <c r="A7" s="3">
        <v>2019</v>
      </c>
      <c r="B7" s="4">
        <v>275.05</v>
      </c>
      <c r="C7" s="4">
        <v>275.99599999999998</v>
      </c>
      <c r="D7" s="4">
        <v>277.27499999999998</v>
      </c>
      <c r="E7" s="4">
        <v>276.64</v>
      </c>
      <c r="F7" s="4">
        <v>277.79500000000002</v>
      </c>
      <c r="G7" s="4">
        <v>276.89100000000002</v>
      </c>
      <c r="H7" s="4">
        <v>277.49</v>
      </c>
      <c r="I7" s="4">
        <v>276.61900000000003</v>
      </c>
      <c r="J7" s="4">
        <v>277.30799999999999</v>
      </c>
      <c r="K7" s="4">
        <v>276.47000000000003</v>
      </c>
      <c r="L7" s="4">
        <v>276.166</v>
      </c>
      <c r="M7" s="4">
        <v>275.036</v>
      </c>
      <c r="N7" s="4">
        <v>276.608</v>
      </c>
      <c r="O7" s="4">
        <v>276.51499999999999</v>
      </c>
      <c r="P7" s="5">
        <f t="shared" si="0"/>
        <v>276.56133333333338</v>
      </c>
    </row>
    <row r="8" spans="1:18" x14ac:dyDescent="0.2">
      <c r="A8" s="3">
        <v>2020</v>
      </c>
      <c r="B8" s="4">
        <v>275.916</v>
      </c>
      <c r="C8" s="4">
        <v>276.64100000000002</v>
      </c>
      <c r="D8" s="4">
        <v>277.64600000000002</v>
      </c>
      <c r="E8" s="4">
        <v>285.16000000000003</v>
      </c>
      <c r="F8" s="4">
        <v>284.93700000000001</v>
      </c>
      <c r="G8" s="4">
        <v>286.09199999999998</v>
      </c>
      <c r="H8" s="4">
        <v>285.20400000000001</v>
      </c>
      <c r="I8" s="4">
        <v>284.47199999999998</v>
      </c>
      <c r="J8" s="4">
        <v>284.416</v>
      </c>
      <c r="K8" s="4">
        <v>284.74</v>
      </c>
      <c r="L8" s="4">
        <v>282.78199999999998</v>
      </c>
      <c r="M8" s="4">
        <v>283.73500000000001</v>
      </c>
      <c r="N8" s="4">
        <v>281.065</v>
      </c>
      <c r="O8" s="4">
        <v>284.22500000000002</v>
      </c>
      <c r="P8" s="5">
        <f t="shared" si="0"/>
        <v>282.64508333333339</v>
      </c>
    </row>
    <row r="9" spans="1:18" x14ac:dyDescent="0.2">
      <c r="A9" s="3">
        <v>2021</v>
      </c>
      <c r="B9" s="4">
        <v>282.911</v>
      </c>
      <c r="C9" s="4">
        <v>284.09500000000003</v>
      </c>
      <c r="D9" s="4">
        <v>284.74599999999998</v>
      </c>
      <c r="E9" s="4">
        <v>285.37700000000001</v>
      </c>
      <c r="F9" s="4">
        <v>286.649</v>
      </c>
      <c r="G9" s="4">
        <v>286.76100000000002</v>
      </c>
      <c r="H9" s="4">
        <v>289.53300000000002</v>
      </c>
      <c r="I9" s="4">
        <v>288.99</v>
      </c>
      <c r="J9" s="4">
        <v>292.06900000000002</v>
      </c>
      <c r="K9" s="4">
        <v>294.625</v>
      </c>
      <c r="L9" s="4">
        <v>295.90899999999999</v>
      </c>
      <c r="M9" s="4">
        <v>297.279</v>
      </c>
      <c r="N9" s="4">
        <v>285.08999999999997</v>
      </c>
      <c r="O9" s="4">
        <v>293.06799999999998</v>
      </c>
      <c r="P9" s="5">
        <f t="shared" si="0"/>
        <v>289.07866666666666</v>
      </c>
    </row>
    <row r="10" spans="1:18" x14ac:dyDescent="0.2">
      <c r="A10" s="3">
        <v>2022</v>
      </c>
      <c r="B10" s="4">
        <v>302.24200000000002</v>
      </c>
      <c r="C10" s="4">
        <v>306.19299999999998</v>
      </c>
      <c r="D10" s="4">
        <v>311.60599999999999</v>
      </c>
      <c r="E10" s="4">
        <v>314.78699999999998</v>
      </c>
      <c r="F10" s="4">
        <v>319.93</v>
      </c>
      <c r="G10" s="4">
        <v>326.37799999999999</v>
      </c>
      <c r="H10" s="4">
        <v>332.96800000000002</v>
      </c>
      <c r="I10" s="4">
        <v>336.399</v>
      </c>
      <c r="J10" s="4">
        <v>339.33600000000001</v>
      </c>
      <c r="K10" s="4">
        <v>341.49200000000002</v>
      </c>
      <c r="L10" s="4">
        <v>344.39299999999997</v>
      </c>
      <c r="M10" s="4">
        <v>345.029</v>
      </c>
      <c r="N10" s="4">
        <v>313.52300000000002</v>
      </c>
      <c r="O10" s="4">
        <v>339.93599999999998</v>
      </c>
      <c r="P10" s="5">
        <f t="shared" si="0"/>
        <v>326.72941666666668</v>
      </c>
    </row>
    <row r="11" spans="1:18" x14ac:dyDescent="0.2">
      <c r="A11" s="3">
        <v>2023</v>
      </c>
      <c r="B11" s="4">
        <v>349.29399999999998</v>
      </c>
      <c r="C11" s="4">
        <v>350.77199999999999</v>
      </c>
      <c r="D11" s="4">
        <v>353.86599999999999</v>
      </c>
      <c r="E11" s="4">
        <v>353.74200000000002</v>
      </c>
      <c r="F11" s="4">
        <v>354.19499999999999</v>
      </c>
      <c r="G11" s="4">
        <v>355.07400000000001</v>
      </c>
      <c r="H11" s="4">
        <v>356.37700000000001</v>
      </c>
      <c r="I11" s="4">
        <v>356.56299999999999</v>
      </c>
      <c r="J11" s="4">
        <v>355.57600000000002</v>
      </c>
      <c r="K11" s="4">
        <v>355.75200000000001</v>
      </c>
      <c r="L11" s="4">
        <v>356.16899999999998</v>
      </c>
      <c r="M11" s="4">
        <v>353.84399999999999</v>
      </c>
      <c r="N11" s="4">
        <v>352.82400000000001</v>
      </c>
      <c r="O11" s="4">
        <v>355.714</v>
      </c>
      <c r="P11" s="5">
        <f t="shared" si="0"/>
        <v>354.2686666666666</v>
      </c>
    </row>
    <row r="12" spans="1:18" x14ac:dyDescent="0.2">
      <c r="A12" s="3">
        <v>2024</v>
      </c>
      <c r="B12" s="4">
        <v>354.53199999999998</v>
      </c>
      <c r="C12" s="4">
        <v>356.63299999999998</v>
      </c>
      <c r="D12" s="4">
        <v>354.666</v>
      </c>
      <c r="E12" s="4">
        <v>355.85199999999998</v>
      </c>
      <c r="F12" s="4">
        <v>356.75799999999998</v>
      </c>
      <c r="G12" s="4">
        <v>356.93799999999999</v>
      </c>
      <c r="H12" s="4">
        <v>356.52499999999998</v>
      </c>
      <c r="I12" s="4">
        <v>355.65199999999999</v>
      </c>
      <c r="J12" s="4">
        <v>356.08800000000002</v>
      </c>
      <c r="K12" s="4">
        <v>359.00700000000001</v>
      </c>
      <c r="L12" s="4">
        <v>354.37099999999998</v>
      </c>
      <c r="N12" s="4">
        <v>355.89699999999999</v>
      </c>
      <c r="P12" s="5">
        <f t="shared" si="0"/>
        <v>356.09290909090913</v>
      </c>
    </row>
    <row r="13" spans="1:18" x14ac:dyDescent="0.2">
      <c r="P13" s="5">
        <f>AVERAGE(P2:P12)</f>
        <v>295.27774173553723</v>
      </c>
    </row>
    <row r="14" spans="1:18" x14ac:dyDescent="0.2">
      <c r="P14" s="5"/>
    </row>
  </sheetData>
  <pageMargins left="0.7" right="0.7" top="0.75" bottom="0.75" header="0.3" footer="0.3"/>
  <ignoredErrors>
    <ignoredError sqref="P2:P12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A339-96C4-0340-88D5-042E6DB3E56C}">
  <dimension ref="A1:R13"/>
  <sheetViews>
    <sheetView workbookViewId="0">
      <selection activeCell="P4" sqref="P4"/>
    </sheetView>
  </sheetViews>
  <sheetFormatPr baseColWidth="10" defaultRowHeight="16" x14ac:dyDescent="0.2"/>
  <sheetData>
    <row r="1" spans="1:18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18</v>
      </c>
      <c r="Q1" s="2" t="s">
        <v>19</v>
      </c>
      <c r="R1" s="2" t="s">
        <v>20</v>
      </c>
    </row>
    <row r="2" spans="1:18" ht="17" thickTop="1" x14ac:dyDescent="0.2">
      <c r="A2" s="3">
        <v>2014</v>
      </c>
      <c r="B2" s="4">
        <v>167.03899999999999</v>
      </c>
      <c r="C2" s="4">
        <v>165.98</v>
      </c>
      <c r="D2" s="4">
        <v>165.703</v>
      </c>
      <c r="E2" s="4">
        <v>165.387</v>
      </c>
      <c r="F2" s="4">
        <v>164.64</v>
      </c>
      <c r="G2" s="4">
        <v>164.7</v>
      </c>
      <c r="H2" s="4">
        <v>165.21100000000001</v>
      </c>
      <c r="I2" s="4">
        <v>165.613</v>
      </c>
      <c r="J2" s="4">
        <v>166.08</v>
      </c>
      <c r="K2" s="4">
        <v>167.35</v>
      </c>
      <c r="L2" s="4">
        <v>167.511</v>
      </c>
      <c r="M2" s="4">
        <v>166.97800000000001</v>
      </c>
      <c r="P2" s="8">
        <f>AVERAGE(B2:M2)</f>
        <v>166.01599999999999</v>
      </c>
      <c r="Q2" s="6">
        <f>P12-P2</f>
        <v>54.329090909090951</v>
      </c>
      <c r="R2" s="7">
        <f>Q2/P2</f>
        <v>0.32725213780051893</v>
      </c>
    </row>
    <row r="3" spans="1:18" x14ac:dyDescent="0.2">
      <c r="A3" s="3">
        <v>2015</v>
      </c>
      <c r="B3" s="4">
        <v>168.60300000000001</v>
      </c>
      <c r="C3" s="4">
        <v>168.90100000000001</v>
      </c>
      <c r="D3" s="4">
        <v>167.70599999999999</v>
      </c>
      <c r="E3" s="4">
        <v>168.40100000000001</v>
      </c>
      <c r="F3" s="4">
        <v>166.79499999999999</v>
      </c>
      <c r="G3" s="4">
        <v>166.82400000000001</v>
      </c>
      <c r="H3" s="4">
        <v>167.42099999999999</v>
      </c>
      <c r="I3" s="4">
        <v>168.017</v>
      </c>
      <c r="J3" s="4">
        <v>168.054</v>
      </c>
      <c r="K3" s="4">
        <v>169.04499999999999</v>
      </c>
      <c r="L3" s="4">
        <v>167.49799999999999</v>
      </c>
      <c r="M3" s="4">
        <v>167.482</v>
      </c>
      <c r="P3" s="8">
        <f t="shared" ref="P3:P12" si="0">AVERAGE(B3:M3)</f>
        <v>167.89558333333335</v>
      </c>
    </row>
    <row r="4" spans="1:18" x14ac:dyDescent="0.2">
      <c r="A4" s="3">
        <v>2016</v>
      </c>
      <c r="B4" s="4">
        <v>168.71799999999999</v>
      </c>
      <c r="C4" s="4">
        <v>169.24799999999999</v>
      </c>
      <c r="D4" s="4">
        <v>168.18700000000001</v>
      </c>
      <c r="E4" s="4">
        <v>168.77099999999999</v>
      </c>
      <c r="F4" s="4">
        <v>167.053</v>
      </c>
      <c r="G4" s="4">
        <v>165.94</v>
      </c>
      <c r="H4" s="4">
        <v>166.648</v>
      </c>
      <c r="I4" s="4">
        <v>167.04400000000001</v>
      </c>
      <c r="J4" s="4">
        <v>166.57300000000001</v>
      </c>
      <c r="K4" s="4">
        <v>166.79300000000001</v>
      </c>
      <c r="L4" s="4">
        <v>166.25800000000001</v>
      </c>
      <c r="M4" s="4">
        <v>165.965</v>
      </c>
      <c r="P4" s="8">
        <f t="shared" si="0"/>
        <v>167.26649999999998</v>
      </c>
    </row>
    <row r="5" spans="1:18" x14ac:dyDescent="0.2">
      <c r="A5" s="3">
        <v>2017</v>
      </c>
      <c r="B5" s="4">
        <v>167.07400000000001</v>
      </c>
      <c r="C5" s="4">
        <v>169.45099999999999</v>
      </c>
      <c r="D5" s="4">
        <v>168.45500000000001</v>
      </c>
      <c r="E5" s="4">
        <v>168.35400000000001</v>
      </c>
      <c r="F5" s="4">
        <v>168.55500000000001</v>
      </c>
      <c r="G5" s="4">
        <v>167.24199999999999</v>
      </c>
      <c r="H5" s="4">
        <v>167.08500000000001</v>
      </c>
      <c r="I5" s="4">
        <v>166.822</v>
      </c>
      <c r="J5" s="4">
        <v>167.429</v>
      </c>
      <c r="K5" s="4">
        <v>167.99</v>
      </c>
      <c r="L5" s="4">
        <v>166.27099999999999</v>
      </c>
      <c r="M5" s="4">
        <v>166.006</v>
      </c>
      <c r="P5" s="8">
        <f t="shared" si="0"/>
        <v>167.56116666666668</v>
      </c>
    </row>
    <row r="6" spans="1:18" x14ac:dyDescent="0.2">
      <c r="A6" s="3">
        <v>2018</v>
      </c>
      <c r="B6" s="4">
        <v>167.67099999999999</v>
      </c>
      <c r="C6" s="4">
        <v>167.73599999999999</v>
      </c>
      <c r="D6" s="4">
        <v>167.75800000000001</v>
      </c>
      <c r="E6" s="4">
        <v>167.041</v>
      </c>
      <c r="F6" s="4">
        <v>166.40100000000001</v>
      </c>
      <c r="G6" s="4">
        <v>166.43100000000001</v>
      </c>
      <c r="H6" s="4">
        <v>166.577</v>
      </c>
      <c r="I6" s="4">
        <v>167.23099999999999</v>
      </c>
      <c r="J6" s="4">
        <v>168.428</v>
      </c>
      <c r="K6" s="4">
        <v>169.57</v>
      </c>
      <c r="L6" s="4">
        <v>167.89099999999999</v>
      </c>
      <c r="M6" s="4">
        <v>168.339</v>
      </c>
      <c r="N6" s="4">
        <v>167.173</v>
      </c>
      <c r="O6" s="4">
        <v>168.006</v>
      </c>
      <c r="P6" s="8">
        <f t="shared" si="0"/>
        <v>167.58949999999999</v>
      </c>
    </row>
    <row r="7" spans="1:18" x14ac:dyDescent="0.2">
      <c r="A7" s="3">
        <v>2019</v>
      </c>
      <c r="B7" s="4">
        <v>171.35400000000001</v>
      </c>
      <c r="C7" s="4">
        <v>172.488</v>
      </c>
      <c r="D7" s="4">
        <v>172.06</v>
      </c>
      <c r="E7" s="4">
        <v>170.727</v>
      </c>
      <c r="F7" s="4">
        <v>171.26</v>
      </c>
      <c r="G7" s="4">
        <v>170.23</v>
      </c>
      <c r="H7" s="4">
        <v>169.685</v>
      </c>
      <c r="I7" s="4">
        <v>170.06700000000001</v>
      </c>
      <c r="J7" s="4">
        <v>170.63</v>
      </c>
      <c r="K7" s="4">
        <v>170.84200000000001</v>
      </c>
      <c r="L7" s="4">
        <v>170.67500000000001</v>
      </c>
      <c r="M7" s="4">
        <v>170.006</v>
      </c>
      <c r="N7" s="4">
        <v>171.35300000000001</v>
      </c>
      <c r="O7" s="4">
        <v>170.31800000000001</v>
      </c>
      <c r="P7" s="8">
        <f t="shared" si="0"/>
        <v>170.83533333333332</v>
      </c>
    </row>
    <row r="8" spans="1:18" x14ac:dyDescent="0.2">
      <c r="A8" s="3">
        <v>2020</v>
      </c>
      <c r="B8" s="4">
        <v>172.31299999999999</v>
      </c>
      <c r="C8" s="4">
        <v>173.19399999999999</v>
      </c>
      <c r="D8" s="4">
        <v>174.45400000000001</v>
      </c>
      <c r="E8" s="4">
        <v>179.23500000000001</v>
      </c>
      <c r="F8" s="4">
        <v>178.23400000000001</v>
      </c>
      <c r="G8" s="4">
        <v>179.19</v>
      </c>
      <c r="H8" s="4">
        <v>178.167</v>
      </c>
      <c r="I8" s="4">
        <v>178.684</v>
      </c>
      <c r="J8" s="4">
        <v>177.84800000000001</v>
      </c>
      <c r="K8" s="4">
        <v>178.4</v>
      </c>
      <c r="L8" s="4">
        <v>175.869</v>
      </c>
      <c r="M8" s="4">
        <v>177.53899999999999</v>
      </c>
      <c r="N8" s="4">
        <v>176.10300000000001</v>
      </c>
      <c r="O8" s="4">
        <v>177.751</v>
      </c>
      <c r="P8" s="8">
        <f t="shared" si="0"/>
        <v>176.92724999999999</v>
      </c>
    </row>
    <row r="9" spans="1:18" x14ac:dyDescent="0.2">
      <c r="A9" s="3">
        <v>2021</v>
      </c>
      <c r="B9" s="4">
        <v>179.78899999999999</v>
      </c>
      <c r="C9" s="4">
        <v>180.202</v>
      </c>
      <c r="D9" s="4">
        <v>180.018</v>
      </c>
      <c r="E9" s="4">
        <v>179.57</v>
      </c>
      <c r="F9" s="4">
        <v>177.81399999999999</v>
      </c>
      <c r="G9" s="4">
        <v>179.52699999999999</v>
      </c>
      <c r="H9" s="4">
        <v>180.136</v>
      </c>
      <c r="I9" s="4">
        <v>182.27699999999999</v>
      </c>
      <c r="J9" s="4">
        <v>184.49</v>
      </c>
      <c r="K9" s="4">
        <v>186.387</v>
      </c>
      <c r="L9" s="4">
        <v>185.119</v>
      </c>
      <c r="M9" s="4">
        <v>186.72300000000001</v>
      </c>
      <c r="N9" s="4">
        <v>179.48699999999999</v>
      </c>
      <c r="O9" s="4">
        <v>184.18899999999999</v>
      </c>
      <c r="P9" s="8">
        <f t="shared" si="0"/>
        <v>181.83766666666665</v>
      </c>
    </row>
    <row r="10" spans="1:18" x14ac:dyDescent="0.2">
      <c r="A10" s="3">
        <v>2022</v>
      </c>
      <c r="B10" s="4">
        <v>188.71899999999999</v>
      </c>
      <c r="C10" s="4">
        <v>192.21</v>
      </c>
      <c r="D10" s="4">
        <v>194.34200000000001</v>
      </c>
      <c r="E10" s="4">
        <v>197.13800000000001</v>
      </c>
      <c r="F10" s="4">
        <v>199.166</v>
      </c>
      <c r="G10" s="4">
        <v>200.876</v>
      </c>
      <c r="H10" s="4">
        <v>204.94399999999999</v>
      </c>
      <c r="I10" s="4">
        <v>206.69300000000001</v>
      </c>
      <c r="J10" s="4">
        <v>208.33199999999999</v>
      </c>
      <c r="K10" s="4">
        <v>210.12100000000001</v>
      </c>
      <c r="L10" s="4">
        <v>209.50700000000001</v>
      </c>
      <c r="M10" s="4">
        <v>210.32400000000001</v>
      </c>
      <c r="N10" s="4">
        <v>195.40899999999999</v>
      </c>
      <c r="O10" s="4">
        <v>208.32</v>
      </c>
      <c r="P10" s="8">
        <f t="shared" si="0"/>
        <v>201.86433333333335</v>
      </c>
    </row>
    <row r="11" spans="1:18" x14ac:dyDescent="0.2">
      <c r="A11" s="3">
        <v>2023</v>
      </c>
      <c r="B11" s="4">
        <v>213.35900000000001</v>
      </c>
      <c r="C11" s="4">
        <v>215.92500000000001</v>
      </c>
      <c r="D11" s="4">
        <v>216.32900000000001</v>
      </c>
      <c r="E11" s="4">
        <v>215.833</v>
      </c>
      <c r="F11" s="4">
        <v>216.46</v>
      </c>
      <c r="G11" s="4">
        <v>216.14599999999999</v>
      </c>
      <c r="H11" s="4">
        <v>216.05600000000001</v>
      </c>
      <c r="I11" s="4">
        <v>216.642</v>
      </c>
      <c r="J11" s="4">
        <v>216.73599999999999</v>
      </c>
      <c r="K11" s="4">
        <v>216.952</v>
      </c>
      <c r="L11" s="4">
        <v>215.60400000000001</v>
      </c>
      <c r="M11" s="4">
        <v>215.87200000000001</v>
      </c>
      <c r="N11" s="4">
        <v>215.67500000000001</v>
      </c>
      <c r="O11" s="4">
        <v>216.31</v>
      </c>
      <c r="P11" s="8">
        <f t="shared" si="0"/>
        <v>215.99283333333332</v>
      </c>
    </row>
    <row r="12" spans="1:18" x14ac:dyDescent="0.2">
      <c r="A12" s="3">
        <v>2024</v>
      </c>
      <c r="B12" s="4">
        <v>220.57300000000001</v>
      </c>
      <c r="C12" s="4">
        <v>220.95599999999999</v>
      </c>
      <c r="D12" s="4">
        <v>221.423</v>
      </c>
      <c r="E12" s="4">
        <v>220.71199999999999</v>
      </c>
      <c r="F12" s="4">
        <v>219.35400000000001</v>
      </c>
      <c r="G12" s="4">
        <v>219.37299999999999</v>
      </c>
      <c r="H12" s="4">
        <v>220.12899999999999</v>
      </c>
      <c r="I12" s="4">
        <v>219.381</v>
      </c>
      <c r="J12" s="4">
        <v>219.488</v>
      </c>
      <c r="K12" s="4">
        <v>220.672</v>
      </c>
      <c r="L12" s="4">
        <v>221.73500000000001</v>
      </c>
      <c r="N12" s="4">
        <v>220.399</v>
      </c>
      <c r="P12" s="8">
        <f t="shared" si="0"/>
        <v>220.34509090909094</v>
      </c>
    </row>
    <row r="13" spans="1:18" x14ac:dyDescent="0.2">
      <c r="P13" s="8">
        <f>AVERAGE(P2:P12)</f>
        <v>182.19375068870525</v>
      </c>
    </row>
  </sheetData>
  <pageMargins left="0.7" right="0.7" top="0.75" bottom="0.75" header="0.3" footer="0.3"/>
  <ignoredErrors>
    <ignoredError sqref="P2:P12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C548-AC0B-2541-A3EB-6020B98C2EE5}">
  <dimension ref="A1:R12"/>
  <sheetViews>
    <sheetView workbookViewId="0">
      <selection activeCell="Q2" sqref="Q2"/>
    </sheetView>
  </sheetViews>
  <sheetFormatPr baseColWidth="10" defaultRowHeight="16" x14ac:dyDescent="0.2"/>
  <cols>
    <col min="17" max="17" width="10.83203125" customWidth="1"/>
  </cols>
  <sheetData>
    <row r="1" spans="1:18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18</v>
      </c>
      <c r="Q1" s="2" t="s">
        <v>19</v>
      </c>
      <c r="R1" s="2" t="s">
        <v>20</v>
      </c>
    </row>
    <row r="2" spans="1:18" ht="17" thickTop="1" x14ac:dyDescent="0.2">
      <c r="A2" s="3">
        <v>2014</v>
      </c>
      <c r="B2" s="4">
        <v>219.36199999999999</v>
      </c>
      <c r="C2" s="4">
        <v>220.86099999999999</v>
      </c>
      <c r="D2" s="4">
        <v>223.06299999999999</v>
      </c>
      <c r="E2" s="4">
        <v>224.17099999999999</v>
      </c>
      <c r="F2" s="4">
        <v>225.49100000000001</v>
      </c>
      <c r="G2" s="4">
        <v>224.52199999999999</v>
      </c>
      <c r="H2" s="4">
        <v>225.14</v>
      </c>
      <c r="I2" s="4">
        <v>226.39</v>
      </c>
      <c r="J2" s="4">
        <v>227.60400000000001</v>
      </c>
      <c r="K2" s="4">
        <v>228.83099999999999</v>
      </c>
      <c r="L2" s="4">
        <v>228.41200000000001</v>
      </c>
      <c r="M2" s="4">
        <v>229.87</v>
      </c>
      <c r="P2" s="5">
        <f>AVERAGE(B2:M2)</f>
        <v>225.30974999999992</v>
      </c>
      <c r="Q2" s="6">
        <f>P12-P2</f>
        <v>43.340068181818282</v>
      </c>
      <c r="R2" s="7">
        <f>Q2/P2</f>
        <v>0.19235771280123606</v>
      </c>
    </row>
    <row r="3" spans="1:18" x14ac:dyDescent="0.2">
      <c r="A3" s="3">
        <v>2015</v>
      </c>
      <c r="B3" s="4">
        <v>227.8</v>
      </c>
      <c r="C3" s="4">
        <v>225.535</v>
      </c>
      <c r="D3" s="4">
        <v>224.44900000000001</v>
      </c>
      <c r="E3" s="4">
        <v>222.691</v>
      </c>
      <c r="F3" s="4">
        <v>221.03899999999999</v>
      </c>
      <c r="G3" s="4">
        <v>219.696</v>
      </c>
      <c r="H3" s="4">
        <v>221.44300000000001</v>
      </c>
      <c r="I3" s="4">
        <v>220.71600000000001</v>
      </c>
      <c r="J3" s="4">
        <v>222.31</v>
      </c>
      <c r="K3" s="4">
        <v>221.874</v>
      </c>
      <c r="L3" s="4">
        <v>220.613</v>
      </c>
      <c r="M3" s="4">
        <v>220.84800000000001</v>
      </c>
      <c r="P3" s="5">
        <f t="shared" ref="P3:P12" si="0">AVERAGE(B3:M3)</f>
        <v>222.41783333333331</v>
      </c>
    </row>
    <row r="4" spans="1:18" x14ac:dyDescent="0.2">
      <c r="A4" s="3">
        <v>2016</v>
      </c>
      <c r="B4" s="4">
        <v>220.869</v>
      </c>
      <c r="C4" s="4">
        <v>219.732</v>
      </c>
      <c r="D4" s="4">
        <v>218.131</v>
      </c>
      <c r="E4" s="4">
        <v>218.315</v>
      </c>
      <c r="F4" s="4">
        <v>216.12200000000001</v>
      </c>
      <c r="G4" s="4">
        <v>214.815</v>
      </c>
      <c r="H4" s="4">
        <v>214.60499999999999</v>
      </c>
      <c r="I4" s="4">
        <v>215.506</v>
      </c>
      <c r="J4" s="4">
        <v>216.69300000000001</v>
      </c>
      <c r="K4" s="4">
        <v>218.18299999999999</v>
      </c>
      <c r="L4" s="4">
        <v>216.773</v>
      </c>
      <c r="M4" s="4">
        <v>217.929</v>
      </c>
      <c r="P4" s="5">
        <f t="shared" si="0"/>
        <v>217.30608333333339</v>
      </c>
    </row>
    <row r="5" spans="1:18" x14ac:dyDescent="0.2">
      <c r="A5" s="3">
        <v>2017</v>
      </c>
      <c r="B5" s="4">
        <v>219.804</v>
      </c>
      <c r="C5" s="4">
        <v>220.55199999999999</v>
      </c>
      <c r="D5" s="4">
        <v>218.56700000000001</v>
      </c>
      <c r="E5" s="4">
        <v>217.827</v>
      </c>
      <c r="F5" s="4">
        <v>217.01499999999999</v>
      </c>
      <c r="G5" s="4">
        <v>215.19200000000001</v>
      </c>
      <c r="H5" s="4">
        <v>216.434</v>
      </c>
      <c r="I5" s="4">
        <v>216.53700000000001</v>
      </c>
      <c r="J5" s="4">
        <v>216.56399999999999</v>
      </c>
      <c r="K5" s="4">
        <v>217.17</v>
      </c>
      <c r="L5" s="4">
        <v>216.87799999999999</v>
      </c>
      <c r="M5" s="4">
        <v>216.916</v>
      </c>
      <c r="P5" s="5">
        <f t="shared" si="0"/>
        <v>217.45466666666667</v>
      </c>
    </row>
    <row r="6" spans="1:18" x14ac:dyDescent="0.2">
      <c r="A6" s="3">
        <v>2018</v>
      </c>
      <c r="B6" s="4">
        <v>217.89699999999999</v>
      </c>
      <c r="C6" s="4">
        <v>216.41200000000001</v>
      </c>
      <c r="D6" s="4">
        <v>216.49700000000001</v>
      </c>
      <c r="E6" s="4">
        <v>216.90600000000001</v>
      </c>
      <c r="F6" s="4">
        <v>215.65899999999999</v>
      </c>
      <c r="G6" s="4">
        <v>216.126</v>
      </c>
      <c r="H6" s="4">
        <v>215.62200000000001</v>
      </c>
      <c r="I6" s="4">
        <v>216.435</v>
      </c>
      <c r="J6" s="4">
        <v>216.63800000000001</v>
      </c>
      <c r="K6" s="4">
        <v>216.8</v>
      </c>
      <c r="L6" s="4">
        <v>215.89599999999999</v>
      </c>
      <c r="M6" s="4">
        <v>216.65199999999999</v>
      </c>
      <c r="N6" s="4">
        <v>216.583</v>
      </c>
      <c r="O6" s="4">
        <v>216.34100000000001</v>
      </c>
      <c r="P6" s="5">
        <f t="shared" si="0"/>
        <v>216.4616666666667</v>
      </c>
    </row>
    <row r="7" spans="1:18" x14ac:dyDescent="0.2">
      <c r="A7" s="3">
        <v>2019</v>
      </c>
      <c r="B7" s="4">
        <v>217.07900000000001</v>
      </c>
      <c r="C7" s="4">
        <v>216.595</v>
      </c>
      <c r="D7" s="4">
        <v>217.53100000000001</v>
      </c>
      <c r="E7" s="4">
        <v>217.51</v>
      </c>
      <c r="F7" s="4">
        <v>217.84100000000001</v>
      </c>
      <c r="G7" s="4">
        <v>217.43299999999999</v>
      </c>
      <c r="H7" s="4">
        <v>217.626</v>
      </c>
      <c r="I7" s="4">
        <v>218.75800000000001</v>
      </c>
      <c r="J7" s="4">
        <v>219.77099999999999</v>
      </c>
      <c r="K7" s="4">
        <v>220.738</v>
      </c>
      <c r="L7" s="4">
        <v>221.51499999999999</v>
      </c>
      <c r="M7" s="4">
        <v>221.92400000000001</v>
      </c>
      <c r="N7" s="4">
        <v>217.33199999999999</v>
      </c>
      <c r="O7" s="4">
        <v>220.05500000000001</v>
      </c>
      <c r="P7" s="5">
        <f t="shared" si="0"/>
        <v>218.69341666666665</v>
      </c>
    </row>
    <row r="8" spans="1:18" x14ac:dyDescent="0.2">
      <c r="A8" s="3">
        <v>2020</v>
      </c>
      <c r="B8" s="4">
        <v>223.035</v>
      </c>
      <c r="C8" s="4">
        <v>224.44300000000001</v>
      </c>
      <c r="D8" s="4">
        <v>225.62700000000001</v>
      </c>
      <c r="E8" s="4">
        <v>228.755</v>
      </c>
      <c r="F8" s="4">
        <v>230.166</v>
      </c>
      <c r="G8" s="4">
        <v>228.43700000000001</v>
      </c>
      <c r="H8" s="4">
        <v>227.114</v>
      </c>
      <c r="I8" s="4">
        <v>231.23099999999999</v>
      </c>
      <c r="J8" s="4">
        <v>230.65600000000001</v>
      </c>
      <c r="K8" s="4">
        <v>229.155</v>
      </c>
      <c r="L8" s="4">
        <v>229.50299999999999</v>
      </c>
      <c r="M8" s="4">
        <v>231.74</v>
      </c>
      <c r="N8" s="4">
        <v>226.744</v>
      </c>
      <c r="O8" s="4">
        <v>229.9</v>
      </c>
      <c r="P8" s="5">
        <f t="shared" si="0"/>
        <v>228.32183333333342</v>
      </c>
    </row>
    <row r="9" spans="1:18" x14ac:dyDescent="0.2">
      <c r="A9" s="3">
        <v>2021</v>
      </c>
      <c r="B9" s="4">
        <v>231.54599999999999</v>
      </c>
      <c r="C9" s="4">
        <v>230.452</v>
      </c>
      <c r="D9" s="4">
        <v>229.249</v>
      </c>
      <c r="E9" s="4">
        <v>230.17</v>
      </c>
      <c r="F9" s="4">
        <v>230.38</v>
      </c>
      <c r="G9" s="4">
        <v>230.15199999999999</v>
      </c>
      <c r="H9" s="4">
        <v>231.233</v>
      </c>
      <c r="I9" s="4">
        <v>230.14500000000001</v>
      </c>
      <c r="J9" s="4">
        <v>231.97300000000001</v>
      </c>
      <c r="K9" s="4">
        <v>233.16800000000001</v>
      </c>
      <c r="L9" s="4">
        <v>233.15700000000001</v>
      </c>
      <c r="M9" s="4">
        <v>235.44200000000001</v>
      </c>
      <c r="N9" s="4">
        <v>230.32499999999999</v>
      </c>
      <c r="O9" s="4">
        <v>232.52</v>
      </c>
      <c r="P9" s="5">
        <f t="shared" si="0"/>
        <v>231.42225000000005</v>
      </c>
    </row>
    <row r="10" spans="1:18" x14ac:dyDescent="0.2">
      <c r="A10" s="3">
        <v>2022</v>
      </c>
      <c r="B10" s="4">
        <v>238.67500000000001</v>
      </c>
      <c r="C10" s="4">
        <v>242.386</v>
      </c>
      <c r="D10" s="4">
        <v>245.25800000000001</v>
      </c>
      <c r="E10" s="4">
        <v>251.03</v>
      </c>
      <c r="F10" s="4">
        <v>257.678</v>
      </c>
      <c r="G10" s="4">
        <v>261.255</v>
      </c>
      <c r="H10" s="4">
        <v>265.63799999999998</v>
      </c>
      <c r="I10" s="4">
        <v>267.46100000000001</v>
      </c>
      <c r="J10" s="4">
        <v>268.79300000000001</v>
      </c>
      <c r="K10" s="4">
        <v>269.35500000000002</v>
      </c>
      <c r="L10" s="4">
        <v>271.30700000000002</v>
      </c>
      <c r="M10" s="4">
        <v>271.37599999999998</v>
      </c>
      <c r="N10" s="4">
        <v>249.38</v>
      </c>
      <c r="O10" s="4">
        <v>268.988</v>
      </c>
      <c r="P10" s="5">
        <f t="shared" si="0"/>
        <v>259.18433333333337</v>
      </c>
    </row>
    <row r="11" spans="1:18" x14ac:dyDescent="0.2">
      <c r="A11" s="3">
        <v>2023</v>
      </c>
      <c r="B11" s="4">
        <v>272.04000000000002</v>
      </c>
      <c r="C11" s="4">
        <v>272.27100000000002</v>
      </c>
      <c r="D11" s="4">
        <v>271.38400000000001</v>
      </c>
      <c r="E11" s="4">
        <v>271.10199999999998</v>
      </c>
      <c r="F11" s="4">
        <v>269.57299999999998</v>
      </c>
      <c r="G11" s="4">
        <v>268.33800000000002</v>
      </c>
      <c r="H11" s="4">
        <v>269.14299999999997</v>
      </c>
      <c r="I11" s="4">
        <v>268.28100000000001</v>
      </c>
      <c r="J11" s="4">
        <v>268.37700000000001</v>
      </c>
      <c r="K11" s="4">
        <v>268.32600000000002</v>
      </c>
      <c r="L11" s="4">
        <v>267.60899999999998</v>
      </c>
      <c r="M11" s="4">
        <v>267.88900000000001</v>
      </c>
      <c r="N11" s="4">
        <v>270.78500000000003</v>
      </c>
      <c r="O11" s="4">
        <v>268.27100000000002</v>
      </c>
      <c r="P11" s="5">
        <f t="shared" si="0"/>
        <v>269.52775000000003</v>
      </c>
    </row>
    <row r="12" spans="1:18" x14ac:dyDescent="0.2">
      <c r="A12" s="3">
        <v>2024</v>
      </c>
      <c r="B12" s="4">
        <v>268.94099999999997</v>
      </c>
      <c r="C12" s="4">
        <v>267.334</v>
      </c>
      <c r="D12" s="4">
        <v>266.274</v>
      </c>
      <c r="E12" s="4">
        <v>267.47399999999999</v>
      </c>
      <c r="F12" s="4">
        <v>266.74900000000002</v>
      </c>
      <c r="G12" s="4">
        <v>268.09800000000001</v>
      </c>
      <c r="H12" s="4">
        <v>268.65300000000002</v>
      </c>
      <c r="I12" s="4">
        <v>269.46800000000002</v>
      </c>
      <c r="J12" s="4">
        <v>269.64299999999997</v>
      </c>
      <c r="K12" s="4">
        <v>271.69499999999999</v>
      </c>
      <c r="L12" s="4">
        <v>270.81900000000002</v>
      </c>
      <c r="N12" s="4">
        <v>267.47800000000001</v>
      </c>
      <c r="P12" s="5">
        <f t="shared" si="0"/>
        <v>268.6498181818182</v>
      </c>
    </row>
  </sheetData>
  <pageMargins left="0.7" right="0.7" top="0.75" bottom="0.75" header="0.3" footer="0.3"/>
  <ignoredErrors>
    <ignoredError sqref="P2:P1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526D-70DD-A241-B630-72F5818797FE}">
  <dimension ref="A1:S12"/>
  <sheetViews>
    <sheetView workbookViewId="0">
      <selection activeCell="S2" sqref="S2:S12"/>
    </sheetView>
  </sheetViews>
  <sheetFormatPr baseColWidth="10" defaultRowHeight="16" x14ac:dyDescent="0.2"/>
  <sheetData>
    <row r="1" spans="1:19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18</v>
      </c>
      <c r="Q1" s="2" t="s">
        <v>19</v>
      </c>
      <c r="R1" s="2" t="s">
        <v>20</v>
      </c>
    </row>
    <row r="2" spans="1:19" ht="17" thickTop="1" x14ac:dyDescent="0.2">
      <c r="A2" s="3">
        <v>2014</v>
      </c>
      <c r="B2" s="4">
        <v>156.18799999999999</v>
      </c>
      <c r="C2" s="4">
        <v>156.48599999999999</v>
      </c>
      <c r="D2" s="4">
        <v>156.97999999999999</v>
      </c>
      <c r="E2" s="4">
        <v>157.548</v>
      </c>
      <c r="F2" s="4">
        <v>157.721</v>
      </c>
      <c r="G2" s="4">
        <v>158.005</v>
      </c>
      <c r="H2" s="4">
        <v>158.43299999999999</v>
      </c>
      <c r="I2" s="4">
        <v>158.85599999999999</v>
      </c>
      <c r="J2" s="4">
        <v>159.43899999999999</v>
      </c>
      <c r="K2" s="4">
        <v>159.84899999999999</v>
      </c>
      <c r="L2" s="4">
        <v>160.602</v>
      </c>
      <c r="M2" s="4">
        <v>161.08000000000001</v>
      </c>
      <c r="P2" s="5">
        <f>AVERAGE(B2,M2)</f>
        <v>158.63400000000001</v>
      </c>
      <c r="Q2" s="6">
        <f>P12-P2</f>
        <v>80.880999999999972</v>
      </c>
      <c r="R2" s="7">
        <f>Q2/P2</f>
        <v>0.50985917268681347</v>
      </c>
      <c r="S2" s="8"/>
    </row>
    <row r="3" spans="1:19" x14ac:dyDescent="0.2">
      <c r="A3" s="3">
        <v>2015</v>
      </c>
      <c r="B3" s="4">
        <v>161.489</v>
      </c>
      <c r="C3" s="4">
        <v>161.99600000000001</v>
      </c>
      <c r="D3" s="4">
        <v>162.16900000000001</v>
      </c>
      <c r="E3" s="4">
        <v>162.55000000000001</v>
      </c>
      <c r="F3" s="4">
        <v>163.041</v>
      </c>
      <c r="G3" s="4">
        <v>163.02000000000001</v>
      </c>
      <c r="H3" s="4">
        <v>163.251</v>
      </c>
      <c r="I3" s="4">
        <v>163.66999999999999</v>
      </c>
      <c r="J3" s="4">
        <v>164.286</v>
      </c>
      <c r="K3" s="4">
        <v>164.62100000000001</v>
      </c>
      <c r="L3" s="4">
        <v>164.90700000000001</v>
      </c>
      <c r="M3" s="4">
        <v>165.07900000000001</v>
      </c>
      <c r="P3" s="5">
        <f t="shared" ref="P3:P12" si="0">AVERAGE(B3,M3)</f>
        <v>163.28399999999999</v>
      </c>
      <c r="S3" s="8"/>
    </row>
    <row r="4" spans="1:19" x14ac:dyDescent="0.2">
      <c r="A4" s="3">
        <v>2016</v>
      </c>
      <c r="B4" s="4">
        <v>165.905</v>
      </c>
      <c r="C4" s="4">
        <v>166.17</v>
      </c>
      <c r="D4" s="4">
        <v>166.66800000000001</v>
      </c>
      <c r="E4" s="4">
        <v>167.238</v>
      </c>
      <c r="F4" s="4">
        <v>167.43299999999999</v>
      </c>
      <c r="G4" s="4">
        <v>167.624</v>
      </c>
      <c r="H4" s="4">
        <v>167.989</v>
      </c>
      <c r="I4" s="4">
        <v>168.25399999999999</v>
      </c>
      <c r="J4" s="4">
        <v>168.53700000000001</v>
      </c>
      <c r="K4" s="4">
        <v>168.91300000000001</v>
      </c>
      <c r="L4" s="4">
        <v>168.88300000000001</v>
      </c>
      <c r="M4" s="4">
        <v>169.00899999999999</v>
      </c>
      <c r="P4" s="5">
        <f t="shared" si="0"/>
        <v>167.45699999999999</v>
      </c>
      <c r="S4" s="8"/>
    </row>
    <row r="5" spans="1:19" x14ac:dyDescent="0.2">
      <c r="A5" s="3">
        <v>2017</v>
      </c>
      <c r="B5" s="4">
        <v>169.83199999999999</v>
      </c>
      <c r="C5" s="4">
        <v>170.05699999999999</v>
      </c>
      <c r="D5" s="4">
        <v>170.381</v>
      </c>
      <c r="E5" s="4">
        <v>170.97200000000001</v>
      </c>
      <c r="F5" s="4">
        <v>171.24600000000001</v>
      </c>
      <c r="G5" s="4">
        <v>171.53</v>
      </c>
      <c r="H5" s="4">
        <v>172.03800000000001</v>
      </c>
      <c r="I5" s="4">
        <v>172.321</v>
      </c>
      <c r="J5" s="4">
        <v>172.934</v>
      </c>
      <c r="K5" s="4">
        <v>173.25899999999999</v>
      </c>
      <c r="L5" s="4">
        <v>173.64099999999999</v>
      </c>
      <c r="M5" s="4">
        <v>173.89500000000001</v>
      </c>
      <c r="P5" s="5">
        <f t="shared" si="0"/>
        <v>171.86349999999999</v>
      </c>
      <c r="S5" s="8"/>
    </row>
    <row r="6" spans="1:19" x14ac:dyDescent="0.2">
      <c r="A6" s="3">
        <v>2018</v>
      </c>
      <c r="B6" s="4">
        <v>174.70400000000001</v>
      </c>
      <c r="C6" s="4">
        <v>175.27199999999999</v>
      </c>
      <c r="D6" s="4">
        <v>175.48</v>
      </c>
      <c r="E6" s="4">
        <v>175.60400000000001</v>
      </c>
      <c r="F6" s="4">
        <v>176.143</v>
      </c>
      <c r="G6" s="4">
        <v>176.53399999999999</v>
      </c>
      <c r="H6" s="4">
        <v>176.53800000000001</v>
      </c>
      <c r="I6" s="4">
        <v>176.99100000000001</v>
      </c>
      <c r="J6" s="4">
        <v>177.59899999999999</v>
      </c>
      <c r="K6" s="4">
        <v>177.446</v>
      </c>
      <c r="L6" s="4">
        <v>178.024</v>
      </c>
      <c r="M6" s="4">
        <v>178.65199999999999</v>
      </c>
      <c r="N6" s="4">
        <v>175.62299999999999</v>
      </c>
      <c r="O6" s="4">
        <v>177.542</v>
      </c>
      <c r="P6" s="5">
        <f t="shared" si="0"/>
        <v>176.678</v>
      </c>
      <c r="S6" s="8"/>
    </row>
    <row r="7" spans="1:19" x14ac:dyDescent="0.2">
      <c r="A7" s="3">
        <v>2019</v>
      </c>
      <c r="B7" s="4">
        <v>179.65899999999999</v>
      </c>
      <c r="C7" s="4">
        <v>180.52500000000001</v>
      </c>
      <c r="D7" s="4">
        <v>180.93100000000001</v>
      </c>
      <c r="E7" s="4">
        <v>181.46600000000001</v>
      </c>
      <c r="F7" s="4">
        <v>181.81299999999999</v>
      </c>
      <c r="G7" s="4">
        <v>181.89699999999999</v>
      </c>
      <c r="H7" s="4">
        <v>182.26400000000001</v>
      </c>
      <c r="I7" s="4">
        <v>182.55600000000001</v>
      </c>
      <c r="J7" s="4">
        <v>182.911</v>
      </c>
      <c r="K7" s="4">
        <v>183.22300000000001</v>
      </c>
      <c r="L7" s="4">
        <v>183.32</v>
      </c>
      <c r="M7" s="4">
        <v>184.07400000000001</v>
      </c>
      <c r="N7" s="4">
        <v>181.04900000000001</v>
      </c>
      <c r="O7" s="4">
        <v>183.05799999999999</v>
      </c>
      <c r="P7" s="5">
        <f t="shared" si="0"/>
        <v>181.8665</v>
      </c>
      <c r="S7" s="8"/>
    </row>
    <row r="8" spans="1:19" x14ac:dyDescent="0.2">
      <c r="A8" s="3">
        <v>2020</v>
      </c>
      <c r="B8" s="4">
        <v>184.85599999999999</v>
      </c>
      <c r="C8" s="4">
        <v>185.34200000000001</v>
      </c>
      <c r="D8" s="4">
        <v>186.02</v>
      </c>
      <c r="E8" s="4">
        <v>187.31100000000001</v>
      </c>
      <c r="F8" s="4">
        <v>188.422</v>
      </c>
      <c r="G8" s="4">
        <v>189.28</v>
      </c>
      <c r="H8" s="4">
        <v>190.47200000000001</v>
      </c>
      <c r="I8" s="4">
        <v>191.30699999999999</v>
      </c>
      <c r="J8" s="4">
        <v>193.053</v>
      </c>
      <c r="K8" s="4">
        <v>193.708</v>
      </c>
      <c r="L8" s="4">
        <v>194.102</v>
      </c>
      <c r="M8" s="4">
        <v>195.12</v>
      </c>
      <c r="N8" s="4">
        <v>186.87200000000001</v>
      </c>
      <c r="O8" s="4">
        <v>192.96</v>
      </c>
      <c r="P8" s="5">
        <f t="shared" si="0"/>
        <v>189.988</v>
      </c>
      <c r="S8" s="8"/>
    </row>
    <row r="9" spans="1:19" x14ac:dyDescent="0.2">
      <c r="A9" s="3">
        <v>2021</v>
      </c>
      <c r="B9" s="4">
        <v>196.386</v>
      </c>
      <c r="C9" s="4">
        <v>197.07599999999999</v>
      </c>
      <c r="D9" s="4">
        <v>198.042</v>
      </c>
      <c r="E9" s="4">
        <v>198.99</v>
      </c>
      <c r="F9" s="4">
        <v>199.88900000000001</v>
      </c>
      <c r="G9" s="4">
        <v>201.006</v>
      </c>
      <c r="H9" s="4">
        <v>203.02699999999999</v>
      </c>
      <c r="I9" s="4">
        <v>204.59</v>
      </c>
      <c r="J9" s="4">
        <v>205.893</v>
      </c>
      <c r="K9" s="4">
        <v>207.453</v>
      </c>
      <c r="L9" s="4">
        <v>209.483</v>
      </c>
      <c r="M9" s="4">
        <v>210.803</v>
      </c>
      <c r="N9" s="4">
        <v>198.565</v>
      </c>
      <c r="O9" s="4">
        <v>206.875</v>
      </c>
      <c r="P9" s="5">
        <f t="shared" si="0"/>
        <v>203.59449999999998</v>
      </c>
      <c r="S9" s="8"/>
    </row>
    <row r="10" spans="1:19" x14ac:dyDescent="0.2">
      <c r="A10" s="3">
        <v>2022</v>
      </c>
      <c r="B10" s="4">
        <v>212.19200000000001</v>
      </c>
      <c r="C10" s="4">
        <v>212.755</v>
      </c>
      <c r="D10" s="4">
        <v>212.352</v>
      </c>
      <c r="E10" s="4">
        <v>212.95</v>
      </c>
      <c r="F10" s="4">
        <v>214.416</v>
      </c>
      <c r="G10" s="4">
        <v>215.905</v>
      </c>
      <c r="H10" s="4">
        <v>217.71899999999999</v>
      </c>
      <c r="I10" s="4">
        <v>219.286</v>
      </c>
      <c r="J10" s="4">
        <v>220.602</v>
      </c>
      <c r="K10" s="4">
        <v>222.25700000000001</v>
      </c>
      <c r="L10" s="4">
        <v>223.53</v>
      </c>
      <c r="M10" s="4">
        <v>224.75</v>
      </c>
      <c r="N10" s="4">
        <v>213.428</v>
      </c>
      <c r="O10" s="4">
        <v>221.357</v>
      </c>
      <c r="P10" s="5">
        <f t="shared" si="0"/>
        <v>218.471</v>
      </c>
      <c r="S10" s="8"/>
    </row>
    <row r="11" spans="1:19" x14ac:dyDescent="0.2">
      <c r="A11" s="3">
        <v>2023</v>
      </c>
      <c r="B11" s="4">
        <v>226.40899999999999</v>
      </c>
      <c r="C11" s="4">
        <v>228.07</v>
      </c>
      <c r="D11" s="4">
        <v>229.12799999999999</v>
      </c>
      <c r="E11" s="4">
        <v>230.41900000000001</v>
      </c>
      <c r="F11" s="4">
        <v>231.66499999999999</v>
      </c>
      <c r="G11" s="4">
        <v>232.64</v>
      </c>
      <c r="H11" s="4">
        <v>233.17400000000001</v>
      </c>
      <c r="I11" s="4">
        <v>233.911</v>
      </c>
      <c r="J11" s="4">
        <v>234.755</v>
      </c>
      <c r="K11" s="4">
        <v>235.99700000000001</v>
      </c>
      <c r="L11" s="4">
        <v>236.999</v>
      </c>
      <c r="M11" s="4">
        <v>238</v>
      </c>
      <c r="N11" s="4">
        <v>229.72200000000001</v>
      </c>
      <c r="O11" s="4">
        <v>235.47300000000001</v>
      </c>
      <c r="P11" s="5">
        <f t="shared" si="0"/>
        <v>232.2045</v>
      </c>
      <c r="S11" s="8"/>
    </row>
    <row r="12" spans="1:19" x14ac:dyDescent="0.2">
      <c r="A12" s="3">
        <v>2024</v>
      </c>
      <c r="B12" s="4">
        <v>239.51499999999999</v>
      </c>
      <c r="C12" s="4">
        <v>239.869</v>
      </c>
      <c r="D12" s="4">
        <v>240.58699999999999</v>
      </c>
      <c r="E12" s="4">
        <v>241.51499999999999</v>
      </c>
      <c r="F12" s="4">
        <v>242.012</v>
      </c>
      <c r="G12" s="4">
        <v>242.53299999999999</v>
      </c>
      <c r="H12" s="4">
        <v>243.255</v>
      </c>
      <c r="I12" s="4">
        <v>243.86799999999999</v>
      </c>
      <c r="J12" s="4">
        <v>244.43100000000001</v>
      </c>
      <c r="K12" s="4">
        <v>244.94</v>
      </c>
      <c r="L12" s="4">
        <v>245.744</v>
      </c>
      <c r="N12" s="4">
        <v>241.005</v>
      </c>
      <c r="P12" s="5">
        <f t="shared" si="0"/>
        <v>239.51499999999999</v>
      </c>
      <c r="S12" s="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6E12-71E3-4A41-B800-761A6C8D7FDF}">
  <dimension ref="A1:R12"/>
  <sheetViews>
    <sheetView workbookViewId="0">
      <selection activeCell="Q25" sqref="Q25"/>
    </sheetView>
  </sheetViews>
  <sheetFormatPr baseColWidth="10" defaultRowHeight="16" x14ac:dyDescent="0.2"/>
  <cols>
    <col min="17" max="17" width="16.83203125" bestFit="1" customWidth="1"/>
  </cols>
  <sheetData>
    <row r="1" spans="1:18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18</v>
      </c>
      <c r="Q1" s="2" t="s">
        <v>19</v>
      </c>
      <c r="R1" s="2" t="s">
        <v>20</v>
      </c>
    </row>
    <row r="2" spans="1:18" ht="17" thickTop="1" x14ac:dyDescent="0.2">
      <c r="A2" s="3">
        <v>2014</v>
      </c>
      <c r="B2" s="4">
        <v>204.57499999999999</v>
      </c>
      <c r="C2" s="4">
        <v>205.554</v>
      </c>
      <c r="D2" s="4">
        <v>205.36600000000001</v>
      </c>
      <c r="E2" s="4">
        <v>205.09100000000001</v>
      </c>
      <c r="F2" s="4">
        <v>205.86600000000001</v>
      </c>
      <c r="G2" s="4">
        <v>205.99600000000001</v>
      </c>
      <c r="H2" s="4">
        <v>207.39</v>
      </c>
      <c r="I2" s="4">
        <v>207.27099999999999</v>
      </c>
      <c r="J2" s="4">
        <v>207.28700000000001</v>
      </c>
      <c r="K2" s="4">
        <v>206.46</v>
      </c>
      <c r="L2" s="4">
        <v>206.21</v>
      </c>
      <c r="M2" s="4">
        <v>206.83099999999999</v>
      </c>
      <c r="P2" s="5">
        <f>AVERAGE(B2:M2)</f>
        <v>206.15808333333337</v>
      </c>
      <c r="Q2" s="6">
        <f>P12-P2</f>
        <v>66.685462121212083</v>
      </c>
      <c r="R2" s="7">
        <f>Q2/P2</f>
        <v>0.32346760817226622</v>
      </c>
    </row>
    <row r="3" spans="1:18" x14ac:dyDescent="0.2">
      <c r="A3" s="3">
        <v>2015</v>
      </c>
      <c r="B3" s="4">
        <v>207.21799999999999</v>
      </c>
      <c r="C3" s="4">
        <v>208.95400000000001</v>
      </c>
      <c r="D3" s="4">
        <v>208.46299999999999</v>
      </c>
      <c r="E3" s="4">
        <v>208.648</v>
      </c>
      <c r="F3" s="4">
        <v>209.27199999999999</v>
      </c>
      <c r="G3" s="4">
        <v>209.78700000000001</v>
      </c>
      <c r="H3" s="4">
        <v>210.251</v>
      </c>
      <c r="I3" s="4">
        <v>209.892</v>
      </c>
      <c r="J3" s="4">
        <v>210.65899999999999</v>
      </c>
      <c r="K3" s="4">
        <v>210.636</v>
      </c>
      <c r="L3" s="4">
        <v>209.315</v>
      </c>
      <c r="M3" s="4">
        <v>208.91499999999999</v>
      </c>
      <c r="P3" s="5">
        <f t="shared" ref="P3:P12" si="0">AVERAGE(B3:M3)</f>
        <v>209.33416666666668</v>
      </c>
    </row>
    <row r="4" spans="1:18" x14ac:dyDescent="0.2">
      <c r="A4" s="3">
        <v>2016</v>
      </c>
      <c r="B4" s="4">
        <v>208.81</v>
      </c>
      <c r="C4" s="4">
        <v>209.38499999999999</v>
      </c>
      <c r="D4" s="4">
        <v>209.74299999999999</v>
      </c>
      <c r="E4" s="4">
        <v>211.00899999999999</v>
      </c>
      <c r="F4" s="4">
        <v>210.28</v>
      </c>
      <c r="G4" s="4">
        <v>210.392</v>
      </c>
      <c r="H4" s="4">
        <v>210.48599999999999</v>
      </c>
      <c r="I4" s="4">
        <v>209.761</v>
      </c>
      <c r="J4" s="4">
        <v>209.42599999999999</v>
      </c>
      <c r="K4" s="4">
        <v>208.98500000000001</v>
      </c>
      <c r="L4" s="4">
        <v>207.703</v>
      </c>
      <c r="M4" s="4">
        <v>208.30099999999999</v>
      </c>
      <c r="P4" s="5">
        <f t="shared" si="0"/>
        <v>209.52341666666666</v>
      </c>
    </row>
    <row r="5" spans="1:18" x14ac:dyDescent="0.2">
      <c r="A5" s="3">
        <v>2017</v>
      </c>
      <c r="B5" s="4">
        <v>208.804</v>
      </c>
      <c r="C5" s="4">
        <v>208.91399999999999</v>
      </c>
      <c r="D5" s="4">
        <v>210.00200000000001</v>
      </c>
      <c r="E5" s="4">
        <v>210.66800000000001</v>
      </c>
      <c r="F5" s="4">
        <v>210.63</v>
      </c>
      <c r="G5" s="4">
        <v>210.119</v>
      </c>
      <c r="H5" s="4">
        <v>210.624</v>
      </c>
      <c r="I5" s="4">
        <v>209.905</v>
      </c>
      <c r="J5" s="4">
        <v>210.15899999999999</v>
      </c>
      <c r="K5" s="4">
        <v>209.52799999999999</v>
      </c>
      <c r="L5" s="4">
        <v>209.624</v>
      </c>
      <c r="M5" s="4">
        <v>209.40100000000001</v>
      </c>
      <c r="P5" s="5">
        <f t="shared" si="0"/>
        <v>209.86483333333328</v>
      </c>
    </row>
    <row r="6" spans="1:18" x14ac:dyDescent="0.2">
      <c r="A6" s="3">
        <v>2018</v>
      </c>
      <c r="B6" s="4">
        <v>209.61099999999999</v>
      </c>
      <c r="C6" s="4">
        <v>210.11500000000001</v>
      </c>
      <c r="D6" s="4">
        <v>210.012</v>
      </c>
      <c r="E6" s="4">
        <v>210.63200000000001</v>
      </c>
      <c r="F6" s="4">
        <v>210.15899999999999</v>
      </c>
      <c r="G6" s="4">
        <v>210.25899999999999</v>
      </c>
      <c r="H6" s="4">
        <v>210.73599999999999</v>
      </c>
      <c r="I6" s="4">
        <v>210.15799999999999</v>
      </c>
      <c r="J6" s="4">
        <v>210.59</v>
      </c>
      <c r="K6" s="4">
        <v>210.22399999999999</v>
      </c>
      <c r="L6" s="4">
        <v>210.40700000000001</v>
      </c>
      <c r="M6" s="4">
        <v>209.739</v>
      </c>
      <c r="N6" s="4">
        <v>210.131</v>
      </c>
      <c r="O6" s="4">
        <v>210.309</v>
      </c>
      <c r="P6" s="5">
        <f t="shared" si="0"/>
        <v>210.22016666666664</v>
      </c>
    </row>
    <row r="7" spans="1:18" x14ac:dyDescent="0.2">
      <c r="A7" s="3">
        <v>2019</v>
      </c>
      <c r="B7" s="4">
        <v>210.006</v>
      </c>
      <c r="C7" s="4">
        <v>211.16800000000001</v>
      </c>
      <c r="D7" s="4">
        <v>211.55</v>
      </c>
      <c r="E7" s="4">
        <v>211.078</v>
      </c>
      <c r="F7" s="4">
        <v>210.815</v>
      </c>
      <c r="G7" s="4">
        <v>212.05600000000001</v>
      </c>
      <c r="H7" s="4">
        <v>210.941</v>
      </c>
      <c r="I7" s="4">
        <v>210.84100000000001</v>
      </c>
      <c r="J7" s="4">
        <v>211.49</v>
      </c>
      <c r="K7" s="4">
        <v>211.49199999999999</v>
      </c>
      <c r="L7" s="4">
        <v>211.25</v>
      </c>
      <c r="M7" s="4">
        <v>210.43199999999999</v>
      </c>
      <c r="N7" s="4">
        <v>211.11199999999999</v>
      </c>
      <c r="O7" s="4">
        <v>211.07400000000001</v>
      </c>
      <c r="P7" s="5">
        <f t="shared" si="0"/>
        <v>211.09324999999998</v>
      </c>
    </row>
    <row r="8" spans="1:18" x14ac:dyDescent="0.2">
      <c r="A8" s="3">
        <v>2020</v>
      </c>
      <c r="B8" s="4">
        <v>210.76300000000001</v>
      </c>
      <c r="C8" s="4">
        <v>213.215</v>
      </c>
      <c r="D8" s="4">
        <v>214.565</v>
      </c>
      <c r="E8" s="4">
        <v>219.233</v>
      </c>
      <c r="F8" s="4">
        <v>218.988</v>
      </c>
      <c r="G8" s="4">
        <v>219.31100000000001</v>
      </c>
      <c r="H8" s="4">
        <v>219.25399999999999</v>
      </c>
      <c r="I8" s="4">
        <v>219.607</v>
      </c>
      <c r="J8" s="4">
        <v>218.358</v>
      </c>
      <c r="K8" s="4">
        <v>218.75800000000001</v>
      </c>
      <c r="L8" s="4">
        <v>217.31</v>
      </c>
      <c r="M8" s="4">
        <v>218.53399999999999</v>
      </c>
      <c r="N8" s="4">
        <v>216.01300000000001</v>
      </c>
      <c r="O8" s="4">
        <v>218.637</v>
      </c>
      <c r="P8" s="5">
        <f t="shared" si="0"/>
        <v>217.32466666666664</v>
      </c>
    </row>
    <row r="9" spans="1:18" x14ac:dyDescent="0.2">
      <c r="A9" s="3">
        <v>2021</v>
      </c>
      <c r="B9" s="4">
        <v>217.82400000000001</v>
      </c>
      <c r="C9" s="4">
        <v>219.11</v>
      </c>
      <c r="D9" s="4">
        <v>219.26300000000001</v>
      </c>
      <c r="E9" s="4">
        <v>220.143</v>
      </c>
      <c r="F9" s="4">
        <v>219.66399999999999</v>
      </c>
      <c r="G9" s="4">
        <v>220.221</v>
      </c>
      <c r="H9" s="4">
        <v>222.11600000000001</v>
      </c>
      <c r="I9" s="4">
        <v>222.863</v>
      </c>
      <c r="J9" s="4">
        <v>225.14099999999999</v>
      </c>
      <c r="K9" s="4">
        <v>227.70099999999999</v>
      </c>
      <c r="L9" s="4">
        <v>229.643</v>
      </c>
      <c r="M9" s="4">
        <v>230.809</v>
      </c>
      <c r="N9" s="4">
        <v>219.37100000000001</v>
      </c>
      <c r="O9" s="4">
        <v>226.37899999999999</v>
      </c>
      <c r="P9" s="5">
        <f t="shared" si="0"/>
        <v>222.87483333333333</v>
      </c>
    </row>
    <row r="10" spans="1:18" x14ac:dyDescent="0.2">
      <c r="A10" s="3">
        <v>2022</v>
      </c>
      <c r="B10" s="4">
        <v>233.95599999999999</v>
      </c>
      <c r="C10" s="4">
        <v>237.143</v>
      </c>
      <c r="D10" s="4">
        <v>241.804</v>
      </c>
      <c r="E10" s="4">
        <v>244.28200000000001</v>
      </c>
      <c r="F10" s="4">
        <v>247.3</v>
      </c>
      <c r="G10" s="4">
        <v>252.01499999999999</v>
      </c>
      <c r="H10" s="4">
        <v>257.29500000000002</v>
      </c>
      <c r="I10" s="4">
        <v>259.976</v>
      </c>
      <c r="J10" s="4">
        <v>260.58</v>
      </c>
      <c r="K10" s="4">
        <v>262.81400000000002</v>
      </c>
      <c r="L10" s="4">
        <v>261.58300000000003</v>
      </c>
      <c r="M10" s="4">
        <v>262.98500000000001</v>
      </c>
      <c r="N10" s="4">
        <v>242.75</v>
      </c>
      <c r="O10" s="4">
        <v>260.87200000000001</v>
      </c>
      <c r="P10" s="5">
        <f t="shared" si="0"/>
        <v>251.81108333333336</v>
      </c>
    </row>
    <row r="11" spans="1:18" x14ac:dyDescent="0.2">
      <c r="A11" s="3">
        <v>2023</v>
      </c>
      <c r="B11" s="4">
        <v>264.74599999999998</v>
      </c>
      <c r="C11" s="4">
        <v>266.61200000000002</v>
      </c>
      <c r="D11" s="4">
        <v>268.56700000000001</v>
      </c>
      <c r="E11" s="4">
        <v>269.65699999999998</v>
      </c>
      <c r="F11" s="4">
        <v>269.99900000000002</v>
      </c>
      <c r="G11" s="4">
        <v>269.995</v>
      </c>
      <c r="H11" s="4">
        <v>271.27600000000001</v>
      </c>
      <c r="I11" s="4">
        <v>271.64800000000002</v>
      </c>
      <c r="J11" s="4">
        <v>271.56099999999998</v>
      </c>
      <c r="K11" s="4">
        <v>272.21499999999997</v>
      </c>
      <c r="L11" s="4">
        <v>270.25</v>
      </c>
      <c r="M11" s="4">
        <v>270.22300000000001</v>
      </c>
      <c r="N11" s="4">
        <v>268.26299999999998</v>
      </c>
      <c r="O11" s="4">
        <v>271.19600000000003</v>
      </c>
      <c r="P11" s="5">
        <f t="shared" si="0"/>
        <v>269.72908333333334</v>
      </c>
    </row>
    <row r="12" spans="1:18" x14ac:dyDescent="0.2">
      <c r="A12" s="3">
        <v>2024</v>
      </c>
      <c r="B12" s="4">
        <v>271.60000000000002</v>
      </c>
      <c r="C12" s="4">
        <v>272.76799999999997</v>
      </c>
      <c r="D12" s="4">
        <v>272.35199999999998</v>
      </c>
      <c r="E12" s="4">
        <v>273.30599999999998</v>
      </c>
      <c r="F12" s="4">
        <v>272.79599999999999</v>
      </c>
      <c r="G12" s="4">
        <v>274.28500000000003</v>
      </c>
      <c r="H12" s="4">
        <v>273.64299999999997</v>
      </c>
      <c r="I12" s="4">
        <v>272.61200000000002</v>
      </c>
      <c r="J12" s="4">
        <v>272.65800000000002</v>
      </c>
      <c r="K12" s="4">
        <v>273.23200000000003</v>
      </c>
      <c r="L12" s="4">
        <v>272.02699999999999</v>
      </c>
      <c r="N12" s="4">
        <v>272.851</v>
      </c>
      <c r="P12" s="5">
        <f t="shared" si="0"/>
        <v>272.84354545454545</v>
      </c>
    </row>
  </sheetData>
  <pageMargins left="0.7" right="0.7" top="0.75" bottom="0.75" header="0.3" footer="0.3"/>
  <ignoredErrors>
    <ignoredError sqref="P2:P12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F73D-9347-CC4A-A90B-F8B1E1486A87}">
  <dimension ref="A1:R12"/>
  <sheetViews>
    <sheetView workbookViewId="0">
      <selection activeCell="Q13" sqref="Q13"/>
    </sheetView>
  </sheetViews>
  <sheetFormatPr baseColWidth="10" defaultRowHeight="16" x14ac:dyDescent="0.2"/>
  <sheetData>
    <row r="1" spans="1:18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18</v>
      </c>
      <c r="Q1" s="2" t="s">
        <v>19</v>
      </c>
      <c r="R1" s="2" t="s">
        <v>20</v>
      </c>
    </row>
    <row r="2" spans="1:18" ht="17" thickTop="1" x14ac:dyDescent="0.2">
      <c r="A2" s="3">
        <v>2014</v>
      </c>
      <c r="B2" s="4">
        <v>238.792</v>
      </c>
      <c r="C2" s="4">
        <v>239.476</v>
      </c>
      <c r="D2" s="4">
        <v>240.226</v>
      </c>
      <c r="E2" s="4">
        <v>241.10300000000001</v>
      </c>
      <c r="F2" s="4">
        <v>242.065</v>
      </c>
      <c r="G2" s="4">
        <v>242.02699999999999</v>
      </c>
      <c r="H2" s="4">
        <v>242.67400000000001</v>
      </c>
      <c r="I2" s="4">
        <v>243.49700000000001</v>
      </c>
      <c r="J2" s="4">
        <v>244.26</v>
      </c>
      <c r="K2" s="4">
        <v>244.77500000000001</v>
      </c>
      <c r="L2" s="4">
        <v>244.90199999999999</v>
      </c>
      <c r="M2" s="4">
        <v>245.58500000000001</v>
      </c>
      <c r="N2" s="4">
        <v>240.61500000000001</v>
      </c>
      <c r="O2" s="4">
        <v>244.28200000000001</v>
      </c>
      <c r="P2" s="5">
        <f>AVERAGE(B2,M2)</f>
        <v>242.1885</v>
      </c>
      <c r="Q2" s="6">
        <f>P12-P2</f>
        <v>82.593499999999977</v>
      </c>
      <c r="R2" s="7">
        <f>Q2/P2</f>
        <v>0.34102981768333335</v>
      </c>
    </row>
    <row r="3" spans="1:18" x14ac:dyDescent="0.2">
      <c r="A3" s="3">
        <v>2015</v>
      </c>
      <c r="B3" s="4">
        <v>246.1</v>
      </c>
      <c r="C3" s="4">
        <v>246.26900000000001</v>
      </c>
      <c r="D3" s="4">
        <v>245.68899999999999</v>
      </c>
      <c r="E3" s="4">
        <v>245.74600000000001</v>
      </c>
      <c r="F3" s="4">
        <v>245.846</v>
      </c>
      <c r="G3" s="4">
        <v>246.245</v>
      </c>
      <c r="H3" s="4">
        <v>246.55799999999999</v>
      </c>
      <c r="I3" s="4">
        <v>247.196</v>
      </c>
      <c r="J3" s="4">
        <v>248.09</v>
      </c>
      <c r="K3" s="4">
        <v>248.57499999999999</v>
      </c>
      <c r="L3" s="4">
        <v>247.87</v>
      </c>
      <c r="M3" s="4">
        <v>247.46799999999999</v>
      </c>
      <c r="N3" s="4">
        <v>245.983</v>
      </c>
      <c r="O3" s="4">
        <v>247.626</v>
      </c>
      <c r="P3" s="5">
        <f t="shared" ref="P3:P12" si="0">AVERAGE(B3,M3)</f>
        <v>246.78399999999999</v>
      </c>
    </row>
    <row r="4" spans="1:18" x14ac:dyDescent="0.2">
      <c r="A4" s="3">
        <v>2016</v>
      </c>
      <c r="B4" s="4">
        <v>248.24100000000001</v>
      </c>
      <c r="C4" s="4">
        <v>248.459</v>
      </c>
      <c r="D4" s="4">
        <v>247.67699999999999</v>
      </c>
      <c r="E4" s="4">
        <v>248.095</v>
      </c>
      <c r="F4" s="4">
        <v>247.58</v>
      </c>
      <c r="G4" s="4">
        <v>247.20699999999999</v>
      </c>
      <c r="H4" s="4">
        <v>247.267</v>
      </c>
      <c r="I4" s="4">
        <v>247.42</v>
      </c>
      <c r="J4" s="4">
        <v>247.64500000000001</v>
      </c>
      <c r="K4" s="4">
        <v>247.86099999999999</v>
      </c>
      <c r="L4" s="4">
        <v>247.24600000000001</v>
      </c>
      <c r="M4" s="4">
        <v>247.13399999999999</v>
      </c>
      <c r="N4" s="4">
        <v>247.87700000000001</v>
      </c>
      <c r="O4" s="4">
        <v>247.429</v>
      </c>
      <c r="P4" s="5">
        <f t="shared" si="0"/>
        <v>247.6875</v>
      </c>
    </row>
    <row r="5" spans="1:18" x14ac:dyDescent="0.2">
      <c r="A5" s="3">
        <v>2017</v>
      </c>
      <c r="B5" s="4">
        <v>248.07400000000001</v>
      </c>
      <c r="C5" s="4">
        <v>248.595</v>
      </c>
      <c r="D5" s="4">
        <v>248.96700000000001</v>
      </c>
      <c r="E5" s="4">
        <v>249.53800000000001</v>
      </c>
      <c r="F5" s="4">
        <v>249.749</v>
      </c>
      <c r="G5" s="4">
        <v>249.398</v>
      </c>
      <c r="H5" s="4">
        <v>249.93</v>
      </c>
      <c r="I5" s="4">
        <v>250.21199999999999</v>
      </c>
      <c r="J5" s="4">
        <v>250.73500000000001</v>
      </c>
      <c r="K5" s="4">
        <v>251.13</v>
      </c>
      <c r="L5" s="4">
        <v>250.69399999999999</v>
      </c>
      <c r="M5" s="4">
        <v>251.024</v>
      </c>
      <c r="N5" s="4">
        <v>249.054</v>
      </c>
      <c r="O5" s="4">
        <v>250.62100000000001</v>
      </c>
      <c r="P5" s="5">
        <f t="shared" si="0"/>
        <v>249.54900000000001</v>
      </c>
    </row>
    <row r="6" spans="1:18" x14ac:dyDescent="0.2">
      <c r="A6" s="3">
        <v>2018</v>
      </c>
      <c r="B6" s="4">
        <v>252.10900000000001</v>
      </c>
      <c r="C6" s="4">
        <v>252.07599999999999</v>
      </c>
      <c r="D6" s="4">
        <v>252.18199999999999</v>
      </c>
      <c r="E6" s="4">
        <v>252.999</v>
      </c>
      <c r="F6" s="4">
        <v>252.84800000000001</v>
      </c>
      <c r="G6" s="4">
        <v>253.02199999999999</v>
      </c>
      <c r="H6" s="4">
        <v>253.476</v>
      </c>
      <c r="I6" s="4">
        <v>253.779</v>
      </c>
      <c r="J6" s="4">
        <v>254.178</v>
      </c>
      <c r="K6" s="4">
        <v>254.203</v>
      </c>
      <c r="L6" s="4">
        <v>254.262</v>
      </c>
      <c r="M6" s="4">
        <v>255.023</v>
      </c>
      <c r="N6" s="4">
        <v>252.53899999999999</v>
      </c>
      <c r="O6" s="4">
        <v>254.154</v>
      </c>
      <c r="P6" s="5">
        <f t="shared" si="0"/>
        <v>253.566</v>
      </c>
    </row>
    <row r="7" spans="1:18" x14ac:dyDescent="0.2">
      <c r="A7" s="3">
        <v>2019</v>
      </c>
      <c r="B7" s="4">
        <v>256.185</v>
      </c>
      <c r="C7" s="4">
        <v>256.99700000000001</v>
      </c>
      <c r="D7" s="4">
        <v>257.43</v>
      </c>
      <c r="E7" s="4">
        <v>257.39299999999997</v>
      </c>
      <c r="F7" s="4">
        <v>257.791</v>
      </c>
      <c r="G7" s="4">
        <v>257.77800000000002</v>
      </c>
      <c r="H7" s="4">
        <v>258.01499999999999</v>
      </c>
      <c r="I7" s="4">
        <v>258.154</v>
      </c>
      <c r="J7" s="4">
        <v>258.64600000000002</v>
      </c>
      <c r="K7" s="4">
        <v>259.28399999999999</v>
      </c>
      <c r="L7" s="4">
        <v>259.08</v>
      </c>
      <c r="M7" s="4">
        <v>259.40300000000002</v>
      </c>
      <c r="N7" s="4">
        <v>257.262</v>
      </c>
      <c r="O7" s="4">
        <v>258.76400000000001</v>
      </c>
      <c r="P7" s="5">
        <f t="shared" si="0"/>
        <v>257.79399999999998</v>
      </c>
    </row>
    <row r="8" spans="1:18" x14ac:dyDescent="0.2">
      <c r="A8" s="3">
        <v>2020</v>
      </c>
      <c r="B8" s="4">
        <v>260.63799999999998</v>
      </c>
      <c r="C8" s="4">
        <v>261.48700000000002</v>
      </c>
      <c r="D8" s="4">
        <v>262.32</v>
      </c>
      <c r="E8" s="4">
        <v>266.137</v>
      </c>
      <c r="F8" s="4">
        <v>267.79199999999997</v>
      </c>
      <c r="G8" s="4">
        <v>269.05099999999999</v>
      </c>
      <c r="H8" s="4">
        <v>268.13200000000001</v>
      </c>
      <c r="I8" s="4">
        <v>268.38299999999998</v>
      </c>
      <c r="J8" s="4">
        <v>268.46499999999997</v>
      </c>
      <c r="K8" s="4">
        <v>269.16899999999998</v>
      </c>
      <c r="L8" s="4">
        <v>268.53899999999999</v>
      </c>
      <c r="M8" s="4">
        <v>269.38299999999998</v>
      </c>
      <c r="N8" s="4">
        <v>264.57100000000003</v>
      </c>
      <c r="O8" s="4">
        <v>268.67899999999997</v>
      </c>
      <c r="P8" s="5">
        <f t="shared" si="0"/>
        <v>265.01049999999998</v>
      </c>
    </row>
    <row r="9" spans="1:18" x14ac:dyDescent="0.2">
      <c r="A9" s="3">
        <v>2021</v>
      </c>
      <c r="B9" s="4">
        <v>270.26</v>
      </c>
      <c r="C9" s="4">
        <v>270.67200000000003</v>
      </c>
      <c r="D9" s="4">
        <v>271.13499999999999</v>
      </c>
      <c r="E9" s="4">
        <v>272.36700000000002</v>
      </c>
      <c r="F9" s="4">
        <v>273.44099999999997</v>
      </c>
      <c r="G9" s="4">
        <v>275.38</v>
      </c>
      <c r="H9" s="4">
        <v>277.18700000000001</v>
      </c>
      <c r="I9" s="4">
        <v>278.20100000000002</v>
      </c>
      <c r="J9" s="4">
        <v>280.452</v>
      </c>
      <c r="K9" s="4">
        <v>282.94299999999998</v>
      </c>
      <c r="L9" s="4">
        <v>284.16800000000001</v>
      </c>
      <c r="M9" s="4">
        <v>285.55599999999998</v>
      </c>
      <c r="N9" s="4">
        <v>272.209</v>
      </c>
      <c r="O9" s="4">
        <v>281.41800000000001</v>
      </c>
      <c r="P9" s="5">
        <f t="shared" si="0"/>
        <v>277.90800000000002</v>
      </c>
    </row>
    <row r="10" spans="1:18" x14ac:dyDescent="0.2">
      <c r="A10" s="3">
        <v>2022</v>
      </c>
      <c r="B10" s="4">
        <v>288.26400000000001</v>
      </c>
      <c r="C10" s="4">
        <v>291.24400000000003</v>
      </c>
      <c r="D10" s="4">
        <v>294.06400000000002</v>
      </c>
      <c r="E10" s="4">
        <v>296.91500000000002</v>
      </c>
      <c r="F10" s="4">
        <v>300.08100000000002</v>
      </c>
      <c r="G10" s="4">
        <v>302.96699999999998</v>
      </c>
      <c r="H10" s="4">
        <v>306.27800000000002</v>
      </c>
      <c r="I10" s="4">
        <v>308.55</v>
      </c>
      <c r="J10" s="4">
        <v>310.678</v>
      </c>
      <c r="K10" s="4">
        <v>312.86</v>
      </c>
      <c r="L10" s="4">
        <v>313.46699999999998</v>
      </c>
      <c r="M10" s="4">
        <v>314.459</v>
      </c>
      <c r="N10" s="4">
        <v>295.589</v>
      </c>
      <c r="O10" s="4">
        <v>311.04899999999998</v>
      </c>
      <c r="P10" s="5">
        <f t="shared" si="0"/>
        <v>301.36149999999998</v>
      </c>
    </row>
    <row r="11" spans="1:18" x14ac:dyDescent="0.2">
      <c r="A11" s="3">
        <v>2023</v>
      </c>
      <c r="B11" s="4">
        <v>316.70499999999998</v>
      </c>
      <c r="C11" s="4">
        <v>318.05</v>
      </c>
      <c r="D11" s="4">
        <v>318.33800000000002</v>
      </c>
      <c r="E11" s="4">
        <v>319.08499999999998</v>
      </c>
      <c r="F11" s="4">
        <v>319.81099999999998</v>
      </c>
      <c r="G11" s="4">
        <v>320.12</v>
      </c>
      <c r="H11" s="4">
        <v>321.02</v>
      </c>
      <c r="I11" s="4">
        <v>321.57799999999997</v>
      </c>
      <c r="J11" s="4">
        <v>322.24900000000002</v>
      </c>
      <c r="K11" s="4">
        <v>323.262</v>
      </c>
      <c r="L11" s="4">
        <v>322.70299999999997</v>
      </c>
      <c r="M11" s="4">
        <v>322.93299999999999</v>
      </c>
      <c r="N11" s="4">
        <v>318.685</v>
      </c>
      <c r="O11" s="4">
        <v>322.291</v>
      </c>
      <c r="P11" s="5">
        <f t="shared" si="0"/>
        <v>319.81899999999996</v>
      </c>
    </row>
    <row r="12" spans="1:18" x14ac:dyDescent="0.2">
      <c r="A12" s="3">
        <v>2024</v>
      </c>
      <c r="B12" s="4">
        <v>324.78199999999998</v>
      </c>
      <c r="C12" s="4">
        <v>325.19</v>
      </c>
      <c r="D12" s="4">
        <v>325.49099999999999</v>
      </c>
      <c r="E12" s="4">
        <v>326.10700000000003</v>
      </c>
      <c r="F12" s="4">
        <v>326.54500000000002</v>
      </c>
      <c r="G12" s="4">
        <v>327.14400000000001</v>
      </c>
      <c r="H12" s="4">
        <v>327.95600000000002</v>
      </c>
      <c r="I12" s="4">
        <v>328.15600000000001</v>
      </c>
      <c r="J12" s="4">
        <v>329.41699999999997</v>
      </c>
      <c r="K12" s="4">
        <v>330.05099999999999</v>
      </c>
      <c r="L12" s="4">
        <v>330.26</v>
      </c>
      <c r="N12" s="4">
        <v>325.87700000000001</v>
      </c>
      <c r="P12" s="5">
        <f t="shared" si="0"/>
        <v>324.78199999999998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C586-9128-1644-9ECD-CABC52D7C938}">
  <dimension ref="A1:R12"/>
  <sheetViews>
    <sheetView workbookViewId="0">
      <selection activeCell="P2" sqref="P2"/>
    </sheetView>
  </sheetViews>
  <sheetFormatPr baseColWidth="10" defaultRowHeight="16" x14ac:dyDescent="0.2"/>
  <sheetData>
    <row r="1" spans="1:18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18</v>
      </c>
      <c r="Q1" s="2" t="s">
        <v>19</v>
      </c>
      <c r="R1" s="2" t="s">
        <v>20</v>
      </c>
    </row>
    <row r="2" spans="1:18" ht="17" thickTop="1" x14ac:dyDescent="0.2">
      <c r="A2" s="3">
        <v>2014</v>
      </c>
      <c r="B2" s="4">
        <v>235.35599999999999</v>
      </c>
      <c r="C2" s="4">
        <v>236.114</v>
      </c>
      <c r="D2" s="4">
        <v>236.97300000000001</v>
      </c>
      <c r="E2" s="4">
        <v>238.10300000000001</v>
      </c>
      <c r="F2" s="4">
        <v>239.50399999999999</v>
      </c>
      <c r="G2" s="4">
        <v>239.14699999999999</v>
      </c>
      <c r="H2" s="4">
        <v>239.82</v>
      </c>
      <c r="I2" s="4">
        <v>240.72300000000001</v>
      </c>
      <c r="J2" s="4">
        <v>241.578</v>
      </c>
      <c r="K2" s="4">
        <v>242.12100000000001</v>
      </c>
      <c r="L2" s="4">
        <v>241.57599999999999</v>
      </c>
      <c r="M2" s="4">
        <v>242.45699999999999</v>
      </c>
      <c r="N2" s="4">
        <v>237.53299999999999</v>
      </c>
      <c r="O2" s="4">
        <v>241.37899999999999</v>
      </c>
      <c r="P2" s="5">
        <f>AVERAGE(B2:M2)</f>
        <v>239.45599999999999</v>
      </c>
      <c r="Q2" s="6">
        <f>P12-P2</f>
        <v>66.912545454545494</v>
      </c>
      <c r="R2" s="7">
        <f>Q2/P2</f>
        <v>0.27943566022378014</v>
      </c>
    </row>
    <row r="3" spans="1:18" x14ac:dyDescent="0.2">
      <c r="A3" s="3">
        <v>2015</v>
      </c>
      <c r="B3" s="4">
        <v>243.12299999999999</v>
      </c>
      <c r="C3" s="4">
        <v>242.90600000000001</v>
      </c>
      <c r="D3" s="4">
        <v>241.58799999999999</v>
      </c>
      <c r="E3" s="4">
        <v>241.30500000000001</v>
      </c>
      <c r="F3" s="4">
        <v>241.01900000000001</v>
      </c>
      <c r="G3" s="4">
        <v>241.494</v>
      </c>
      <c r="H3" s="4">
        <v>241.99299999999999</v>
      </c>
      <c r="I3" s="4">
        <v>242.74600000000001</v>
      </c>
      <c r="J3" s="4">
        <v>243.43199999999999</v>
      </c>
      <c r="K3" s="4">
        <v>243.779</v>
      </c>
      <c r="L3" s="4">
        <v>242.24</v>
      </c>
      <c r="M3" s="4">
        <v>241.375</v>
      </c>
      <c r="N3" s="4">
        <v>241.90600000000001</v>
      </c>
      <c r="O3" s="4">
        <v>242.59399999999999</v>
      </c>
      <c r="P3" s="5">
        <f t="shared" ref="P3:P12" si="0">AVERAGE(B3:M3)</f>
        <v>242.25</v>
      </c>
    </row>
    <row r="4" spans="1:18" x14ac:dyDescent="0.2">
      <c r="A4" s="3">
        <v>2016</v>
      </c>
      <c r="B4" s="4">
        <v>242.017</v>
      </c>
      <c r="C4" s="4">
        <v>242.06200000000001</v>
      </c>
      <c r="D4" s="4">
        <v>240.32900000000001</v>
      </c>
      <c r="E4" s="4">
        <v>240.63499999999999</v>
      </c>
      <c r="F4" s="4">
        <v>239.35400000000001</v>
      </c>
      <c r="G4" s="4">
        <v>238.43</v>
      </c>
      <c r="H4" s="4">
        <v>238.20699999999999</v>
      </c>
      <c r="I4" s="4">
        <v>238.08799999999999</v>
      </c>
      <c r="J4" s="4">
        <v>238.12</v>
      </c>
      <c r="K4" s="4">
        <v>238.14500000000001</v>
      </c>
      <c r="L4" s="4">
        <v>236.93</v>
      </c>
      <c r="M4" s="4">
        <v>236.464</v>
      </c>
      <c r="N4" s="4">
        <v>240.471</v>
      </c>
      <c r="O4" s="4">
        <v>237.65899999999999</v>
      </c>
      <c r="P4" s="5">
        <f t="shared" si="0"/>
        <v>239.06508333333332</v>
      </c>
    </row>
    <row r="5" spans="1:18" x14ac:dyDescent="0.2">
      <c r="A5" s="3">
        <v>2017</v>
      </c>
      <c r="B5" s="4">
        <v>237.36500000000001</v>
      </c>
      <c r="C5" s="4">
        <v>237.91800000000001</v>
      </c>
      <c r="D5" s="4">
        <v>238.256</v>
      </c>
      <c r="E5" s="4">
        <v>238.81700000000001</v>
      </c>
      <c r="F5" s="4">
        <v>238.964</v>
      </c>
      <c r="G5" s="4">
        <v>238.3</v>
      </c>
      <c r="H5" s="4">
        <v>238.953</v>
      </c>
      <c r="I5" s="4">
        <v>238.84299999999999</v>
      </c>
      <c r="J5" s="4">
        <v>239.12799999999999</v>
      </c>
      <c r="K5" s="4">
        <v>239.54300000000001</v>
      </c>
      <c r="L5" s="4">
        <v>238.40299999999999</v>
      </c>
      <c r="M5" s="4">
        <v>238.57900000000001</v>
      </c>
      <c r="N5" s="4">
        <v>238.27</v>
      </c>
      <c r="O5" s="4">
        <v>238.90799999999999</v>
      </c>
      <c r="P5" s="5">
        <f t="shared" si="0"/>
        <v>238.58908333333332</v>
      </c>
    </row>
    <row r="6" spans="1:18" x14ac:dyDescent="0.2">
      <c r="A6" s="3">
        <v>2018</v>
      </c>
      <c r="B6" s="4">
        <v>239.828</v>
      </c>
      <c r="C6" s="4">
        <v>239.19</v>
      </c>
      <c r="D6" s="4">
        <v>239.15799999999999</v>
      </c>
      <c r="E6" s="4">
        <v>240.12899999999999</v>
      </c>
      <c r="F6" s="4">
        <v>239.28700000000001</v>
      </c>
      <c r="G6" s="4">
        <v>239.15799999999999</v>
      </c>
      <c r="H6" s="4">
        <v>239.82</v>
      </c>
      <c r="I6" s="4">
        <v>240.01499999999999</v>
      </c>
      <c r="J6" s="4">
        <v>240.125</v>
      </c>
      <c r="K6" s="4">
        <v>239.88200000000001</v>
      </c>
      <c r="L6" s="4">
        <v>239.352</v>
      </c>
      <c r="M6" s="4">
        <v>239.989</v>
      </c>
      <c r="N6" s="4">
        <v>239.458</v>
      </c>
      <c r="O6" s="4">
        <v>239.864</v>
      </c>
      <c r="P6" s="5">
        <f t="shared" si="0"/>
        <v>239.66108333333332</v>
      </c>
    </row>
    <row r="7" spans="1:18" x14ac:dyDescent="0.2">
      <c r="A7" s="3">
        <v>2019</v>
      </c>
      <c r="B7" s="4">
        <v>241.381</v>
      </c>
      <c r="C7" s="4">
        <v>242.05699999999999</v>
      </c>
      <c r="D7" s="4">
        <v>242.55500000000001</v>
      </c>
      <c r="E7" s="4">
        <v>241.87799999999999</v>
      </c>
      <c r="F7" s="4">
        <v>242.14500000000001</v>
      </c>
      <c r="G7" s="4">
        <v>241.40700000000001</v>
      </c>
      <c r="H7" s="4">
        <v>241.35900000000001</v>
      </c>
      <c r="I7" s="4">
        <v>241.15299999999999</v>
      </c>
      <c r="J7" s="4">
        <v>241.54300000000001</v>
      </c>
      <c r="K7" s="4">
        <v>242.34</v>
      </c>
      <c r="L7" s="4">
        <v>241.726</v>
      </c>
      <c r="M7" s="4">
        <v>241.75</v>
      </c>
      <c r="N7" s="4">
        <v>241.904</v>
      </c>
      <c r="O7" s="4">
        <v>241.64500000000001</v>
      </c>
      <c r="P7" s="5">
        <f t="shared" si="0"/>
        <v>241.77449999999999</v>
      </c>
    </row>
    <row r="8" spans="1:18" x14ac:dyDescent="0.2">
      <c r="A8" s="3">
        <v>2020</v>
      </c>
      <c r="B8" s="4">
        <v>243.11</v>
      </c>
      <c r="C8" s="4">
        <v>244.054</v>
      </c>
      <c r="D8" s="4">
        <v>245.16300000000001</v>
      </c>
      <c r="E8" s="4">
        <v>251.71700000000001</v>
      </c>
      <c r="F8" s="4">
        <v>253.827</v>
      </c>
      <c r="G8" s="4">
        <v>255.042</v>
      </c>
      <c r="H8" s="4">
        <v>252.56299999999999</v>
      </c>
      <c r="I8" s="4">
        <v>252.352</v>
      </c>
      <c r="J8" s="4">
        <v>251.369</v>
      </c>
      <c r="K8" s="4">
        <v>251.93700000000001</v>
      </c>
      <c r="L8" s="4">
        <v>250.40700000000001</v>
      </c>
      <c r="M8" s="4">
        <v>251.25299999999999</v>
      </c>
      <c r="N8" s="4">
        <v>248.81899999999999</v>
      </c>
      <c r="O8" s="4">
        <v>251.64699999999999</v>
      </c>
      <c r="P8" s="5">
        <f t="shared" si="0"/>
        <v>250.23283333333336</v>
      </c>
    </row>
    <row r="9" spans="1:18" x14ac:dyDescent="0.2">
      <c r="A9" s="3">
        <v>2021</v>
      </c>
      <c r="B9" s="4">
        <v>252.107</v>
      </c>
      <c r="C9" s="4">
        <v>252.71600000000001</v>
      </c>
      <c r="D9" s="4">
        <v>253.23099999999999</v>
      </c>
      <c r="E9" s="4">
        <v>254.76</v>
      </c>
      <c r="F9" s="4">
        <v>255.51599999999999</v>
      </c>
      <c r="G9" s="4">
        <v>257.41199999999998</v>
      </c>
      <c r="H9" s="4">
        <v>259.02199999999999</v>
      </c>
      <c r="I9" s="4">
        <v>259.82499999999999</v>
      </c>
      <c r="J9" s="4">
        <v>262.69499999999999</v>
      </c>
      <c r="K9" s="4">
        <v>265.47800000000001</v>
      </c>
      <c r="L9" s="4">
        <v>266.38400000000001</v>
      </c>
      <c r="M9" s="4">
        <v>267.55500000000001</v>
      </c>
      <c r="N9" s="4">
        <v>254.29</v>
      </c>
      <c r="O9" s="4">
        <v>263.49299999999999</v>
      </c>
      <c r="P9" s="5">
        <f t="shared" si="0"/>
        <v>258.89175</v>
      </c>
    </row>
    <row r="10" spans="1:18" x14ac:dyDescent="0.2">
      <c r="A10" s="3">
        <v>2022</v>
      </c>
      <c r="B10" s="4">
        <v>270.71100000000001</v>
      </c>
      <c r="C10" s="4">
        <v>274.56799999999998</v>
      </c>
      <c r="D10" s="4">
        <v>278.61200000000002</v>
      </c>
      <c r="E10" s="4">
        <v>282.161</v>
      </c>
      <c r="F10" s="4">
        <v>285.95299999999997</v>
      </c>
      <c r="G10" s="4">
        <v>288.88400000000001</v>
      </c>
      <c r="H10" s="4">
        <v>292.97199999999998</v>
      </c>
      <c r="I10" s="4">
        <v>295.00700000000001</v>
      </c>
      <c r="J10" s="4">
        <v>296.77100000000002</v>
      </c>
      <c r="K10" s="4">
        <v>298.40100000000001</v>
      </c>
      <c r="L10" s="4">
        <v>298.28399999999999</v>
      </c>
      <c r="M10" s="4">
        <v>299.089</v>
      </c>
      <c r="N10" s="4">
        <v>280.14800000000002</v>
      </c>
      <c r="O10" s="4">
        <v>296.75400000000002</v>
      </c>
      <c r="P10" s="5">
        <f t="shared" si="0"/>
        <v>288.45108333333332</v>
      </c>
    </row>
    <row r="11" spans="1:18" x14ac:dyDescent="0.2">
      <c r="A11" s="3">
        <v>2023</v>
      </c>
      <c r="B11" s="4">
        <v>301.435</v>
      </c>
      <c r="C11" s="4">
        <v>302.483</v>
      </c>
      <c r="D11" s="4">
        <v>301.91800000000001</v>
      </c>
      <c r="E11" s="4">
        <v>302.32799999999997</v>
      </c>
      <c r="F11" s="4">
        <v>302.53500000000003</v>
      </c>
      <c r="G11" s="4">
        <v>302.33499999999998</v>
      </c>
      <c r="H11" s="4">
        <v>303.45499999999998</v>
      </c>
      <c r="I11" s="4">
        <v>303.71600000000001</v>
      </c>
      <c r="J11" s="4">
        <v>303.92500000000001</v>
      </c>
      <c r="K11" s="4">
        <v>304.78800000000001</v>
      </c>
      <c r="L11" s="4">
        <v>303.22399999999999</v>
      </c>
      <c r="M11" s="4">
        <v>303.005</v>
      </c>
      <c r="N11" s="4">
        <v>302.17200000000003</v>
      </c>
      <c r="O11" s="4">
        <v>303.68599999999998</v>
      </c>
      <c r="P11" s="5">
        <f t="shared" si="0"/>
        <v>302.92891666666668</v>
      </c>
    </row>
    <row r="12" spans="1:18" x14ac:dyDescent="0.2">
      <c r="A12" s="3">
        <v>2024</v>
      </c>
      <c r="B12" s="4">
        <v>305.03699999999998</v>
      </c>
      <c r="C12" s="4">
        <v>305.46899999999999</v>
      </c>
      <c r="D12" s="4">
        <v>305.42599999999999</v>
      </c>
      <c r="E12" s="4">
        <v>305.70699999999999</v>
      </c>
      <c r="F12" s="4">
        <v>305.67899999999997</v>
      </c>
      <c r="G12" s="4">
        <v>305.75200000000001</v>
      </c>
      <c r="H12" s="4">
        <v>306.64299999999997</v>
      </c>
      <c r="I12" s="4">
        <v>306.40199999999999</v>
      </c>
      <c r="J12" s="4">
        <v>307.767</v>
      </c>
      <c r="K12" s="4">
        <v>308.2</v>
      </c>
      <c r="L12" s="4">
        <v>307.97199999999998</v>
      </c>
      <c r="N12" s="4">
        <v>305.512</v>
      </c>
      <c r="P12" s="5">
        <f t="shared" si="0"/>
        <v>306.36854545454548</v>
      </c>
    </row>
  </sheetData>
  <pageMargins left="0.7" right="0.7" top="0.75" bottom="0.75" header="0.3" footer="0.3"/>
  <ignoredErrors>
    <ignoredError sqref="P2:P12" formulaRange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4286-E708-4A49-8D5E-1D0DE6A7A3FA}">
  <dimension ref="A1:R12"/>
  <sheetViews>
    <sheetView workbookViewId="0">
      <selection activeCell="R2" sqref="R2"/>
    </sheetView>
  </sheetViews>
  <sheetFormatPr baseColWidth="10" defaultRowHeight="16" x14ac:dyDescent="0.2"/>
  <cols>
    <col min="17" max="17" width="16.83203125" bestFit="1" customWidth="1"/>
  </cols>
  <sheetData>
    <row r="1" spans="1:18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18</v>
      </c>
      <c r="Q1" s="2" t="s">
        <v>19</v>
      </c>
      <c r="R1" s="2" t="s">
        <v>20</v>
      </c>
    </row>
    <row r="2" spans="1:18" ht="17" thickTop="1" x14ac:dyDescent="0.2">
      <c r="A2" s="3">
        <v>2014</v>
      </c>
      <c r="B2" s="4">
        <v>292.09500000000003</v>
      </c>
      <c r="C2" s="4">
        <v>292.54000000000002</v>
      </c>
      <c r="D2" s="4">
        <v>292.94400000000002</v>
      </c>
      <c r="E2" s="4">
        <v>294.50900000000001</v>
      </c>
      <c r="F2" s="4">
        <v>298.62599999999998</v>
      </c>
      <c r="G2" s="4">
        <v>295.13900000000001</v>
      </c>
      <c r="H2" s="4">
        <v>293.53500000000003</v>
      </c>
      <c r="I2" s="4">
        <v>291.16899999999998</v>
      </c>
      <c r="J2" s="4">
        <v>293.28199999999998</v>
      </c>
      <c r="K2" s="4">
        <v>297.52800000000002</v>
      </c>
      <c r="L2" s="4">
        <v>293.97800000000001</v>
      </c>
      <c r="M2" s="4">
        <v>297.42899999999997</v>
      </c>
      <c r="P2" s="5">
        <f>AVERAGE(B2:M2)</f>
        <v>294.39783333333338</v>
      </c>
      <c r="Q2" s="6">
        <f>P12-P2</f>
        <v>58.32216666666659</v>
      </c>
      <c r="R2" s="7">
        <f>Q2/P2</f>
        <v>0.19810664367434741</v>
      </c>
    </row>
    <row r="3" spans="1:18" x14ac:dyDescent="0.2">
      <c r="A3" s="3">
        <v>2015</v>
      </c>
      <c r="B3" s="4">
        <v>298.78100000000001</v>
      </c>
      <c r="C3" s="4">
        <v>295.68599999999998</v>
      </c>
      <c r="D3" s="4">
        <v>289.858</v>
      </c>
      <c r="E3" s="4">
        <v>290.178</v>
      </c>
      <c r="F3" s="4">
        <v>293.01100000000002</v>
      </c>
      <c r="G3" s="4">
        <v>288.96800000000002</v>
      </c>
      <c r="H3" s="4">
        <v>287.81599999999997</v>
      </c>
      <c r="I3" s="4">
        <v>291.34399999999999</v>
      </c>
      <c r="J3" s="4">
        <v>295.39400000000001</v>
      </c>
      <c r="K3" s="4">
        <v>297.93099999999998</v>
      </c>
      <c r="L3" s="4">
        <v>298.03699999999998</v>
      </c>
      <c r="M3" s="4">
        <v>299.07799999999997</v>
      </c>
      <c r="P3" s="5">
        <f t="shared" ref="P3:P12" si="0">AVERAGE(B3:M3)</f>
        <v>293.84016666666668</v>
      </c>
    </row>
    <row r="4" spans="1:18" x14ac:dyDescent="0.2">
      <c r="A4" s="3">
        <v>2016</v>
      </c>
      <c r="B4" s="4">
        <v>306.79599999999999</v>
      </c>
      <c r="C4" s="4">
        <v>306.77800000000002</v>
      </c>
      <c r="D4" s="4">
        <v>298.16199999999998</v>
      </c>
      <c r="E4" s="4">
        <v>296.21699999999998</v>
      </c>
      <c r="F4" s="4">
        <v>295.97399999999999</v>
      </c>
      <c r="G4" s="4">
        <v>292.733</v>
      </c>
      <c r="H4" s="4">
        <v>291.95999999999998</v>
      </c>
      <c r="I4" s="4">
        <v>292.15600000000001</v>
      </c>
      <c r="J4" s="4">
        <v>293.423</v>
      </c>
      <c r="K4" s="4">
        <v>295.61599999999999</v>
      </c>
      <c r="L4" s="4">
        <v>293.55399999999997</v>
      </c>
      <c r="M4" s="4">
        <v>291.95699999999999</v>
      </c>
      <c r="P4" s="5">
        <f t="shared" si="0"/>
        <v>296.27716666666663</v>
      </c>
    </row>
    <row r="5" spans="1:18" x14ac:dyDescent="0.2">
      <c r="A5" s="3">
        <v>2017</v>
      </c>
      <c r="B5" s="4">
        <v>291.67899999999997</v>
      </c>
      <c r="C5" s="4">
        <v>292.22199999999998</v>
      </c>
      <c r="D5" s="4">
        <v>292.93200000000002</v>
      </c>
      <c r="E5" s="4">
        <v>298.16399999999999</v>
      </c>
      <c r="F5" s="4">
        <v>298.47000000000003</v>
      </c>
      <c r="G5" s="4">
        <v>294.78800000000001</v>
      </c>
      <c r="H5" s="4">
        <v>294.935</v>
      </c>
      <c r="I5" s="4">
        <v>295.00900000000001</v>
      </c>
      <c r="J5" s="4">
        <v>297.04700000000003</v>
      </c>
      <c r="K5" s="4">
        <v>299.7</v>
      </c>
      <c r="L5" s="4">
        <v>296.791</v>
      </c>
      <c r="M5" s="4">
        <v>296.476</v>
      </c>
      <c r="P5" s="5">
        <f t="shared" si="0"/>
        <v>295.68441666666666</v>
      </c>
    </row>
    <row r="6" spans="1:18" x14ac:dyDescent="0.2">
      <c r="A6" s="3">
        <v>2018</v>
      </c>
      <c r="B6" s="4">
        <v>301.81400000000002</v>
      </c>
      <c r="C6" s="4">
        <v>298.50299999999999</v>
      </c>
      <c r="D6" s="4">
        <v>293.87</v>
      </c>
      <c r="E6" s="4">
        <v>296.863</v>
      </c>
      <c r="F6" s="4">
        <v>297.21100000000001</v>
      </c>
      <c r="G6" s="4">
        <v>295.52300000000002</v>
      </c>
      <c r="H6" s="4">
        <v>297.63200000000001</v>
      </c>
      <c r="I6" s="4">
        <v>297.64400000000001</v>
      </c>
      <c r="J6" s="4">
        <v>298.43200000000002</v>
      </c>
      <c r="K6" s="4">
        <v>298.53100000000001</v>
      </c>
      <c r="L6" s="4">
        <v>296.36200000000002</v>
      </c>
      <c r="M6" s="4">
        <v>301.13400000000001</v>
      </c>
      <c r="N6" s="4">
        <v>297.29700000000003</v>
      </c>
      <c r="O6" s="4">
        <v>298.28899999999999</v>
      </c>
      <c r="P6" s="5">
        <f t="shared" si="0"/>
        <v>297.79325</v>
      </c>
    </row>
    <row r="7" spans="1:18" x14ac:dyDescent="0.2">
      <c r="A7" s="3">
        <v>2019</v>
      </c>
      <c r="B7" s="4">
        <v>304.60500000000002</v>
      </c>
      <c r="C7" s="4">
        <v>304.62099999999998</v>
      </c>
      <c r="D7" s="4">
        <v>305.399</v>
      </c>
      <c r="E7" s="4">
        <v>303.50299999999999</v>
      </c>
      <c r="F7" s="4">
        <v>302.35199999999998</v>
      </c>
      <c r="G7" s="4">
        <v>298.61099999999999</v>
      </c>
      <c r="H7" s="4">
        <v>299.35000000000002</v>
      </c>
      <c r="I7" s="4">
        <v>298.60000000000002</v>
      </c>
      <c r="J7" s="4">
        <v>297.30900000000003</v>
      </c>
      <c r="K7" s="4">
        <v>301.31799999999998</v>
      </c>
      <c r="L7" s="4">
        <v>297.47199999999998</v>
      </c>
      <c r="M7" s="4">
        <v>297.10500000000002</v>
      </c>
      <c r="N7" s="4">
        <v>303.18200000000002</v>
      </c>
      <c r="O7" s="4">
        <v>298.52600000000001</v>
      </c>
      <c r="P7" s="5">
        <f t="shared" si="0"/>
        <v>300.85374999999993</v>
      </c>
    </row>
    <row r="8" spans="1:18" x14ac:dyDescent="0.2">
      <c r="A8" s="3">
        <v>2020</v>
      </c>
      <c r="B8" s="4">
        <v>301.67899999999997</v>
      </c>
      <c r="C8" s="4">
        <v>299.81700000000001</v>
      </c>
      <c r="D8" s="4">
        <v>299.64100000000002</v>
      </c>
      <c r="E8" s="4">
        <v>304.80900000000003</v>
      </c>
      <c r="F8" s="4">
        <v>306.798</v>
      </c>
      <c r="G8" s="4">
        <v>305.39299999999997</v>
      </c>
      <c r="H8" s="4">
        <v>306.12299999999999</v>
      </c>
      <c r="I8" s="4">
        <v>306.75400000000002</v>
      </c>
      <c r="J8" s="4">
        <v>306.24900000000002</v>
      </c>
      <c r="K8" s="4">
        <v>309.07100000000003</v>
      </c>
      <c r="L8" s="4">
        <v>306.31099999999998</v>
      </c>
      <c r="M8" s="4">
        <v>306.50599999999997</v>
      </c>
      <c r="N8" s="4">
        <v>303.02300000000002</v>
      </c>
      <c r="O8" s="4">
        <v>306.83600000000001</v>
      </c>
      <c r="P8" s="5">
        <f t="shared" si="0"/>
        <v>304.92924999999997</v>
      </c>
    </row>
    <row r="9" spans="1:18" x14ac:dyDescent="0.2">
      <c r="A9" s="3">
        <v>2021</v>
      </c>
      <c r="B9" s="4">
        <v>309.95400000000001</v>
      </c>
      <c r="C9" s="4">
        <v>309.99299999999999</v>
      </c>
      <c r="D9" s="4">
        <v>311.16800000000001</v>
      </c>
      <c r="E9" s="4">
        <v>314.97300000000001</v>
      </c>
      <c r="F9" s="4">
        <v>315.74799999999999</v>
      </c>
      <c r="G9" s="4">
        <v>315.21100000000001</v>
      </c>
      <c r="H9" s="4">
        <v>312.875</v>
      </c>
      <c r="I9" s="4">
        <v>313.67200000000003</v>
      </c>
      <c r="J9" s="4">
        <v>315.428</v>
      </c>
      <c r="K9" s="4">
        <v>318.31599999999997</v>
      </c>
      <c r="L9" s="4">
        <v>318.43599999999998</v>
      </c>
      <c r="M9" s="4">
        <v>321.93099999999998</v>
      </c>
      <c r="N9" s="4">
        <v>312.84100000000001</v>
      </c>
      <c r="O9" s="4">
        <v>316.77600000000001</v>
      </c>
      <c r="P9" s="5">
        <f t="shared" si="0"/>
        <v>314.80874999999997</v>
      </c>
    </row>
    <row r="10" spans="1:18" x14ac:dyDescent="0.2">
      <c r="A10" s="3">
        <v>2022</v>
      </c>
      <c r="B10" s="4">
        <v>327.45100000000002</v>
      </c>
      <c r="C10" s="4">
        <v>333.67500000000001</v>
      </c>
      <c r="D10" s="4">
        <v>337.50299999999999</v>
      </c>
      <c r="E10" s="4">
        <v>339.38499999999999</v>
      </c>
      <c r="F10" s="4">
        <v>341.59399999999999</v>
      </c>
      <c r="G10" s="4">
        <v>340.59399999999999</v>
      </c>
      <c r="H10" s="4">
        <v>341.839</v>
      </c>
      <c r="I10" s="4">
        <v>343.221</v>
      </c>
      <c r="J10" s="4">
        <v>348.173</v>
      </c>
      <c r="K10" s="4">
        <v>348.02100000000002</v>
      </c>
      <c r="L10" s="4">
        <v>349.46199999999999</v>
      </c>
      <c r="M10" s="4">
        <v>349.13400000000001</v>
      </c>
      <c r="N10" s="4">
        <v>336.7</v>
      </c>
      <c r="O10" s="4">
        <v>346.642</v>
      </c>
      <c r="P10" s="5">
        <f t="shared" si="0"/>
        <v>341.67100000000005</v>
      </c>
    </row>
    <row r="11" spans="1:18" x14ac:dyDescent="0.2">
      <c r="A11" s="3">
        <v>2023</v>
      </c>
      <c r="B11" s="4">
        <v>351.029</v>
      </c>
      <c r="C11" s="4">
        <v>351.24900000000002</v>
      </c>
      <c r="D11" s="4">
        <v>345.81400000000002</v>
      </c>
      <c r="E11" s="4">
        <v>346.26900000000001</v>
      </c>
      <c r="F11" s="4">
        <v>350.98599999999999</v>
      </c>
      <c r="G11" s="4">
        <v>350.72399999999999</v>
      </c>
      <c r="H11" s="4">
        <v>351.64600000000002</v>
      </c>
      <c r="I11" s="4">
        <v>350.428</v>
      </c>
      <c r="J11" s="4">
        <v>351.02</v>
      </c>
      <c r="K11" s="4">
        <v>351.952</v>
      </c>
      <c r="L11" s="4">
        <v>350.73599999999999</v>
      </c>
      <c r="M11" s="4">
        <v>350.25</v>
      </c>
      <c r="N11" s="4">
        <v>349.34500000000003</v>
      </c>
      <c r="O11" s="4">
        <v>351.005</v>
      </c>
      <c r="P11" s="5">
        <f t="shared" si="0"/>
        <v>350.17525000000001</v>
      </c>
    </row>
    <row r="12" spans="1:18" x14ac:dyDescent="0.2">
      <c r="A12" s="3">
        <v>2024</v>
      </c>
      <c r="B12" s="4">
        <v>354.798</v>
      </c>
      <c r="C12" s="4">
        <v>353.96499999999997</v>
      </c>
      <c r="D12" s="4">
        <v>352.84100000000001</v>
      </c>
      <c r="E12" s="4">
        <v>352.274</v>
      </c>
      <c r="F12" s="4">
        <v>353.084</v>
      </c>
      <c r="G12" s="4">
        <v>348.90100000000001</v>
      </c>
      <c r="H12" s="4">
        <v>350.96199999999999</v>
      </c>
      <c r="I12" s="4">
        <v>349.59899999999999</v>
      </c>
      <c r="J12" s="4">
        <v>353.50799999999998</v>
      </c>
      <c r="K12" s="4">
        <v>355.29199999999997</v>
      </c>
      <c r="L12" s="4">
        <v>354.69600000000003</v>
      </c>
      <c r="N12" s="4">
        <v>352.64400000000001</v>
      </c>
      <c r="P12" s="5">
        <f t="shared" si="0"/>
        <v>352.71999999999997</v>
      </c>
    </row>
  </sheetData>
  <pageMargins left="0.7" right="0.7" top="0.75" bottom="0.75" header="0.3" footer="0.3"/>
  <ignoredErrors>
    <ignoredError sqref="P2:P12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0FE3-F5D1-2B4B-91A0-380F74B5750B}">
  <dimension ref="A1:R12"/>
  <sheetViews>
    <sheetView workbookViewId="0">
      <selection activeCell="P2" sqref="P2:P12"/>
    </sheetView>
  </sheetViews>
  <sheetFormatPr baseColWidth="10" defaultRowHeight="16" x14ac:dyDescent="0.2"/>
  <cols>
    <col min="17" max="17" width="15.6640625" bestFit="1" customWidth="1"/>
  </cols>
  <sheetData>
    <row r="1" spans="1:18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18</v>
      </c>
      <c r="Q1" s="2" t="s">
        <v>19</v>
      </c>
      <c r="R1" s="2" t="s">
        <v>20</v>
      </c>
    </row>
    <row r="2" spans="1:18" ht="17" thickTop="1" x14ac:dyDescent="0.2">
      <c r="A2" s="3">
        <v>2014</v>
      </c>
      <c r="B2" s="4">
        <v>245.48099999999999</v>
      </c>
      <c r="C2" s="4">
        <v>246.18700000000001</v>
      </c>
      <c r="D2" s="4">
        <v>246.87799999999999</v>
      </c>
      <c r="E2" s="4">
        <v>247.53399999999999</v>
      </c>
      <c r="F2" s="4">
        <v>247.952</v>
      </c>
      <c r="G2" s="4">
        <v>248.44499999999999</v>
      </c>
      <c r="H2" s="4">
        <v>249.21</v>
      </c>
      <c r="I2" s="4">
        <v>249.80099999999999</v>
      </c>
      <c r="J2" s="4">
        <v>250.57</v>
      </c>
      <c r="K2" s="4">
        <v>251.1</v>
      </c>
      <c r="L2" s="4">
        <v>251.98699999999999</v>
      </c>
      <c r="M2" s="4">
        <v>252.62799999999999</v>
      </c>
      <c r="N2" s="4">
        <v>247.08</v>
      </c>
      <c r="O2" s="4">
        <v>250.88300000000001</v>
      </c>
      <c r="P2" s="5">
        <f>AVERAGE(B2:M2)</f>
        <v>248.98108333333334</v>
      </c>
      <c r="Q2" s="6">
        <f>P12-P2</f>
        <v>119.22528030303027</v>
      </c>
      <c r="R2" s="7">
        <f>Q2/P2</f>
        <v>0.47885276546657435</v>
      </c>
    </row>
    <row r="3" spans="1:18" x14ac:dyDescent="0.2">
      <c r="A3" s="3">
        <v>2015</v>
      </c>
      <c r="B3" s="4">
        <v>253.03700000000001</v>
      </c>
      <c r="C3" s="4">
        <v>253.71899999999999</v>
      </c>
      <c r="D3" s="4">
        <v>254.108</v>
      </c>
      <c r="E3" s="4">
        <v>254.727</v>
      </c>
      <c r="F3" s="4">
        <v>255.322</v>
      </c>
      <c r="G3" s="4">
        <v>255.846</v>
      </c>
      <c r="H3" s="4">
        <v>255.905</v>
      </c>
      <c r="I3" s="4">
        <v>256.44900000000001</v>
      </c>
      <c r="J3" s="4">
        <v>257.83</v>
      </c>
      <c r="K3" s="4">
        <v>258.363</v>
      </c>
      <c r="L3" s="4">
        <v>258.80500000000001</v>
      </c>
      <c r="M3" s="4">
        <v>259.09699999999998</v>
      </c>
      <c r="N3" s="4">
        <v>254.46</v>
      </c>
      <c r="O3" s="4">
        <v>257.74200000000002</v>
      </c>
      <c r="P3" s="5">
        <f t="shared" ref="P3:P12" si="0">AVERAGE(B3:M3)</f>
        <v>256.10066666666665</v>
      </c>
    </row>
    <row r="4" spans="1:18" x14ac:dyDescent="0.2">
      <c r="A4" s="3">
        <v>2016</v>
      </c>
      <c r="B4" s="4">
        <v>259.95800000000003</v>
      </c>
      <c r="C4" s="4">
        <v>260.31900000000002</v>
      </c>
      <c r="D4" s="4">
        <v>260.88299999999998</v>
      </c>
      <c r="E4" s="4">
        <v>261.517</v>
      </c>
      <c r="F4" s="4">
        <v>262.07400000000001</v>
      </c>
      <c r="G4" s="4">
        <v>262.529</v>
      </c>
      <c r="H4" s="4">
        <v>263.05099999999999</v>
      </c>
      <c r="I4" s="4">
        <v>263.649</v>
      </c>
      <c r="J4" s="4">
        <v>264.10199999999998</v>
      </c>
      <c r="K4" s="4">
        <v>264.459</v>
      </c>
      <c r="L4" s="4">
        <v>264.69900000000001</v>
      </c>
      <c r="M4" s="4">
        <v>265.10399999999998</v>
      </c>
      <c r="N4" s="4">
        <v>261.21300000000002</v>
      </c>
      <c r="O4" s="4">
        <v>264.17700000000002</v>
      </c>
      <c r="P4" s="5">
        <f t="shared" si="0"/>
        <v>262.69533333333328</v>
      </c>
    </row>
    <row r="5" spans="1:18" x14ac:dyDescent="0.2">
      <c r="A5" s="3">
        <v>2017</v>
      </c>
      <c r="B5" s="4">
        <v>266.07900000000001</v>
      </c>
      <c r="C5" s="4">
        <v>266.62599999999998</v>
      </c>
      <c r="D5" s="4">
        <v>267.05500000000001</v>
      </c>
      <c r="E5" s="4">
        <v>267.65199999999999</v>
      </c>
      <c r="F5" s="4">
        <v>268.12799999999999</v>
      </c>
      <c r="G5" s="4">
        <v>268.22500000000002</v>
      </c>
      <c r="H5" s="4">
        <v>268.649</v>
      </c>
      <c r="I5" s="4">
        <v>269.52199999999999</v>
      </c>
      <c r="J5" s="4">
        <v>270.35300000000001</v>
      </c>
      <c r="K5" s="4">
        <v>270.65800000000002</v>
      </c>
      <c r="L5" s="4">
        <v>271.15199999999999</v>
      </c>
      <c r="M5" s="4">
        <v>271.81099999999998</v>
      </c>
      <c r="N5" s="4">
        <v>267.29399999999998</v>
      </c>
      <c r="O5" s="4">
        <v>270.358</v>
      </c>
      <c r="P5" s="5">
        <f t="shared" si="0"/>
        <v>268.82583333333332</v>
      </c>
    </row>
    <row r="6" spans="1:18" x14ac:dyDescent="0.2">
      <c r="A6" s="3">
        <v>2018</v>
      </c>
      <c r="B6" s="4">
        <v>272.77199999999999</v>
      </c>
      <c r="C6" s="4">
        <v>273.435</v>
      </c>
      <c r="D6" s="4">
        <v>273.733</v>
      </c>
      <c r="E6" s="4">
        <v>274.39299999999997</v>
      </c>
      <c r="F6" s="4">
        <v>275.30700000000002</v>
      </c>
      <c r="G6" s="4">
        <v>275.80799999999999</v>
      </c>
      <c r="H6" s="4">
        <v>276.125</v>
      </c>
      <c r="I6" s="4">
        <v>276.64800000000002</v>
      </c>
      <c r="J6" s="4">
        <v>277.25799999999998</v>
      </c>
      <c r="K6" s="4">
        <v>277.51299999999998</v>
      </c>
      <c r="L6" s="4">
        <v>278.30599999999998</v>
      </c>
      <c r="M6" s="4">
        <v>279.41899999999998</v>
      </c>
      <c r="N6" s="4">
        <v>274.24099999999999</v>
      </c>
      <c r="O6" s="4">
        <v>277.54500000000002</v>
      </c>
      <c r="P6" s="5">
        <f t="shared" si="0"/>
        <v>275.89308333333332</v>
      </c>
    </row>
    <row r="7" spans="1:18" x14ac:dyDescent="0.2">
      <c r="A7" s="3">
        <v>2019</v>
      </c>
      <c r="B7" s="4">
        <v>280.38</v>
      </c>
      <c r="C7" s="4">
        <v>281.37299999999999</v>
      </c>
      <c r="D7" s="4">
        <v>281.887</v>
      </c>
      <c r="E7" s="4">
        <v>282.798</v>
      </c>
      <c r="F7" s="4">
        <v>283.39400000000001</v>
      </c>
      <c r="G7" s="4">
        <v>284.31599999999997</v>
      </c>
      <c r="H7" s="4">
        <v>284.89100000000002</v>
      </c>
      <c r="I7" s="4">
        <v>285.50700000000001</v>
      </c>
      <c r="J7" s="4">
        <v>286.24599999999998</v>
      </c>
      <c r="K7" s="4">
        <v>286.791</v>
      </c>
      <c r="L7" s="4">
        <v>287.255</v>
      </c>
      <c r="M7" s="4">
        <v>288.07799999999997</v>
      </c>
      <c r="N7" s="4">
        <v>282.358</v>
      </c>
      <c r="O7" s="4">
        <v>286.46100000000001</v>
      </c>
      <c r="P7" s="5">
        <f t="shared" si="0"/>
        <v>284.40966666666668</v>
      </c>
    </row>
    <row r="8" spans="1:18" x14ac:dyDescent="0.2">
      <c r="A8" s="3">
        <v>2020</v>
      </c>
      <c r="B8" s="4">
        <v>289.137</v>
      </c>
      <c r="C8" s="4">
        <v>289.78100000000001</v>
      </c>
      <c r="D8" s="4">
        <v>290.21600000000001</v>
      </c>
      <c r="E8" s="4">
        <v>290.63900000000001</v>
      </c>
      <c r="F8" s="4">
        <v>291.709</v>
      </c>
      <c r="G8" s="4">
        <v>293.21899999999999</v>
      </c>
      <c r="H8" s="4">
        <v>294.59899999999999</v>
      </c>
      <c r="I8" s="4">
        <v>295.43700000000001</v>
      </c>
      <c r="J8" s="4">
        <v>297.08</v>
      </c>
      <c r="K8" s="4">
        <v>297.89299999999997</v>
      </c>
      <c r="L8" s="4">
        <v>298.25299999999999</v>
      </c>
      <c r="M8" s="4">
        <v>299.36900000000003</v>
      </c>
      <c r="N8" s="4">
        <v>290.78399999999999</v>
      </c>
      <c r="O8" s="4">
        <v>297.10500000000002</v>
      </c>
      <c r="P8" s="5">
        <f t="shared" si="0"/>
        <v>293.94433333333336</v>
      </c>
    </row>
    <row r="9" spans="1:18" x14ac:dyDescent="0.2">
      <c r="A9" s="3">
        <v>2021</v>
      </c>
      <c r="B9" s="4">
        <v>300.38200000000001</v>
      </c>
      <c r="C9" s="4">
        <v>300.54000000000002</v>
      </c>
      <c r="D9" s="4">
        <v>300.89699999999999</v>
      </c>
      <c r="E9" s="4">
        <v>301.81900000000002</v>
      </c>
      <c r="F9" s="4">
        <v>303.48099999999999</v>
      </c>
      <c r="G9" s="4">
        <v>305.63400000000001</v>
      </c>
      <c r="H9" s="4">
        <v>308.02300000000002</v>
      </c>
      <c r="I9" s="4">
        <v>309.33600000000001</v>
      </c>
      <c r="J9" s="4">
        <v>310.99599999999998</v>
      </c>
      <c r="K9" s="4">
        <v>313.59199999999998</v>
      </c>
      <c r="L9" s="4">
        <v>315.48099999999999</v>
      </c>
      <c r="M9" s="4">
        <v>317.37200000000001</v>
      </c>
      <c r="N9" s="4">
        <v>302.12599999999998</v>
      </c>
      <c r="O9" s="4">
        <v>312.46699999999998</v>
      </c>
      <c r="P9" s="5">
        <f t="shared" si="0"/>
        <v>307.29608333333334</v>
      </c>
    </row>
    <row r="10" spans="1:18" x14ac:dyDescent="0.2">
      <c r="A10" s="3">
        <v>2022</v>
      </c>
      <c r="B10" s="4">
        <v>319.471</v>
      </c>
      <c r="C10" s="4">
        <v>320.88</v>
      </c>
      <c r="D10" s="4">
        <v>321.68900000000002</v>
      </c>
      <c r="E10" s="4">
        <v>323.55900000000003</v>
      </c>
      <c r="F10" s="4">
        <v>325.952</v>
      </c>
      <c r="G10" s="4">
        <v>329.03300000000002</v>
      </c>
      <c r="H10" s="4">
        <v>331.34199999999998</v>
      </c>
      <c r="I10" s="4">
        <v>334.21199999999999</v>
      </c>
      <c r="J10" s="4">
        <v>337.36900000000003</v>
      </c>
      <c r="K10" s="4">
        <v>340.53199999999998</v>
      </c>
      <c r="L10" s="4">
        <v>342.26600000000002</v>
      </c>
      <c r="M10" s="4">
        <v>343.55900000000003</v>
      </c>
      <c r="N10" s="4">
        <v>323.43099999999998</v>
      </c>
      <c r="O10" s="4">
        <v>338.21300000000002</v>
      </c>
      <c r="P10" s="5">
        <f t="shared" si="0"/>
        <v>330.82200000000006</v>
      </c>
    </row>
    <row r="11" spans="1:18" x14ac:dyDescent="0.2">
      <c r="A11" s="3">
        <v>2023</v>
      </c>
      <c r="B11" s="4">
        <v>345.67700000000002</v>
      </c>
      <c r="C11" s="4">
        <v>347.86900000000003</v>
      </c>
      <c r="D11" s="4">
        <v>349.94400000000002</v>
      </c>
      <c r="E11" s="4">
        <v>351.23700000000002</v>
      </c>
      <c r="F11" s="4">
        <v>352.892</v>
      </c>
      <c r="G11" s="4">
        <v>354.245</v>
      </c>
      <c r="H11" s="4">
        <v>354.86200000000002</v>
      </c>
      <c r="I11" s="4">
        <v>356.08300000000003</v>
      </c>
      <c r="J11" s="4">
        <v>357.488</v>
      </c>
      <c r="K11" s="4">
        <v>358.82400000000001</v>
      </c>
      <c r="L11" s="4">
        <v>360.38299999999998</v>
      </c>
      <c r="M11" s="4">
        <v>361.56400000000002</v>
      </c>
      <c r="N11" s="4">
        <v>350.31099999999998</v>
      </c>
      <c r="O11" s="4">
        <v>358.20100000000002</v>
      </c>
      <c r="P11" s="5">
        <f t="shared" si="0"/>
        <v>354.25566666666668</v>
      </c>
    </row>
    <row r="12" spans="1:18" x14ac:dyDescent="0.2">
      <c r="A12" s="3">
        <v>2024</v>
      </c>
      <c r="B12" s="4">
        <v>363.24900000000002</v>
      </c>
      <c r="C12" s="4">
        <v>363.596</v>
      </c>
      <c r="D12" s="4">
        <v>364.54599999999999</v>
      </c>
      <c r="E12" s="4">
        <v>365.81299999999999</v>
      </c>
      <c r="F12" s="4">
        <v>367.09899999999999</v>
      </c>
      <c r="G12" s="4">
        <v>368.61599999999999</v>
      </c>
      <c r="H12" s="4">
        <v>369.38299999999998</v>
      </c>
      <c r="I12" s="4">
        <v>370.34800000000001</v>
      </c>
      <c r="J12" s="4">
        <v>371.60399999999998</v>
      </c>
      <c r="K12" s="4">
        <v>372.48599999999999</v>
      </c>
      <c r="L12" s="4">
        <v>373.53</v>
      </c>
      <c r="N12" s="4">
        <v>365.48700000000002</v>
      </c>
      <c r="P12" s="5">
        <f t="shared" si="0"/>
        <v>368.20636363636362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3DAB-DC44-C246-9149-EF5EBAF4973B}">
  <dimension ref="A1:R12"/>
  <sheetViews>
    <sheetView workbookViewId="0">
      <selection activeCell="R1" sqref="R1"/>
    </sheetView>
  </sheetViews>
  <sheetFormatPr baseColWidth="10" defaultRowHeight="16" x14ac:dyDescent="0.2"/>
  <cols>
    <col min="17" max="17" width="16.83203125" bestFit="1" customWidth="1"/>
  </cols>
  <sheetData>
    <row r="1" spans="1:18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18</v>
      </c>
      <c r="Q1" s="2" t="s">
        <v>19</v>
      </c>
      <c r="R1" s="2" t="s">
        <v>20</v>
      </c>
    </row>
    <row r="2" spans="1:18" ht="17" thickTop="1" x14ac:dyDescent="0.2">
      <c r="A2" s="3">
        <v>2014</v>
      </c>
      <c r="B2" s="4">
        <v>152.96700000000001</v>
      </c>
      <c r="C2" s="4">
        <v>153.59700000000001</v>
      </c>
      <c r="D2" s="4">
        <v>153.97900000000001</v>
      </c>
      <c r="E2" s="4">
        <v>154.19800000000001</v>
      </c>
      <c r="F2" s="4">
        <v>154.56299999999999</v>
      </c>
      <c r="G2" s="4">
        <v>154.88900000000001</v>
      </c>
      <c r="H2" s="4">
        <v>155.56200000000001</v>
      </c>
      <c r="I2" s="4">
        <v>156.00700000000001</v>
      </c>
      <c r="J2" s="4">
        <v>156.31</v>
      </c>
      <c r="K2" s="4">
        <v>156.62700000000001</v>
      </c>
      <c r="L2" s="4">
        <v>157.07400000000001</v>
      </c>
      <c r="M2" s="4">
        <v>157.45400000000001</v>
      </c>
      <c r="P2" s="5">
        <f>AVERAGE(B2:M2)</f>
        <v>155.26891666666668</v>
      </c>
      <c r="Q2" s="6">
        <f>P12-P2</f>
        <v>70.852537878787842</v>
      </c>
      <c r="R2" s="7">
        <f>Q2/P2</f>
        <v>0.45632145441508415</v>
      </c>
    </row>
    <row r="3" spans="1:18" x14ac:dyDescent="0.2">
      <c r="A3" s="3">
        <v>2015</v>
      </c>
      <c r="B3" s="4">
        <v>157.60400000000001</v>
      </c>
      <c r="C3" s="4">
        <v>157.88499999999999</v>
      </c>
      <c r="D3" s="4">
        <v>158.131</v>
      </c>
      <c r="E3" s="4">
        <v>158.51499999999999</v>
      </c>
      <c r="F3" s="4">
        <v>158.71100000000001</v>
      </c>
      <c r="G3" s="4">
        <v>159.28200000000001</v>
      </c>
      <c r="H3" s="4">
        <v>159.71299999999999</v>
      </c>
      <c r="I3" s="4">
        <v>159.97</v>
      </c>
      <c r="J3" s="4">
        <v>160.35499999999999</v>
      </c>
      <c r="K3" s="4">
        <v>160.63200000000001</v>
      </c>
      <c r="L3" s="4">
        <v>160.88800000000001</v>
      </c>
      <c r="M3" s="4">
        <v>161.042</v>
      </c>
      <c r="P3" s="5">
        <f t="shared" ref="P3:P12" si="0">AVERAGE(B3:M3)</f>
        <v>159.39400000000001</v>
      </c>
    </row>
    <row r="4" spans="1:18" x14ac:dyDescent="0.2">
      <c r="A4" s="3">
        <v>2016</v>
      </c>
      <c r="B4" s="4">
        <v>161.392</v>
      </c>
      <c r="C4" s="4">
        <v>161.625</v>
      </c>
      <c r="D4" s="4">
        <v>161.898</v>
      </c>
      <c r="E4" s="4">
        <v>162.125</v>
      </c>
      <c r="F4" s="4">
        <v>162.66399999999999</v>
      </c>
      <c r="G4" s="4">
        <v>163.059</v>
      </c>
      <c r="H4" s="4">
        <v>163.364</v>
      </c>
      <c r="I4" s="4">
        <v>163.82400000000001</v>
      </c>
      <c r="J4" s="4">
        <v>164.072</v>
      </c>
      <c r="K4" s="4">
        <v>164.143</v>
      </c>
      <c r="L4" s="4">
        <v>164.46299999999999</v>
      </c>
      <c r="M4" s="4">
        <v>164.876</v>
      </c>
      <c r="P4" s="5">
        <f t="shared" si="0"/>
        <v>163.12541666666667</v>
      </c>
    </row>
    <row r="5" spans="1:18" x14ac:dyDescent="0.2">
      <c r="A5" s="3">
        <v>2017</v>
      </c>
      <c r="B5" s="4">
        <v>165.36099999999999</v>
      </c>
      <c r="C5" s="4">
        <v>165.84899999999999</v>
      </c>
      <c r="D5" s="4">
        <v>166.07300000000001</v>
      </c>
      <c r="E5" s="4">
        <v>166.34299999999999</v>
      </c>
      <c r="F5" s="4">
        <v>166.721</v>
      </c>
      <c r="G5" s="4">
        <v>166.959</v>
      </c>
      <c r="H5" s="4">
        <v>167.19</v>
      </c>
      <c r="I5" s="4">
        <v>167.44800000000001</v>
      </c>
      <c r="J5" s="4">
        <v>167.71799999999999</v>
      </c>
      <c r="K5" s="4">
        <v>168.10499999999999</v>
      </c>
      <c r="L5" s="4">
        <v>168.33</v>
      </c>
      <c r="M5" s="4">
        <v>168.607</v>
      </c>
      <c r="P5" s="5">
        <f t="shared" si="0"/>
        <v>167.05866666666668</v>
      </c>
    </row>
    <row r="6" spans="1:18" x14ac:dyDescent="0.2">
      <c r="A6" s="3">
        <v>2018</v>
      </c>
      <c r="B6" s="4">
        <v>169.02099999999999</v>
      </c>
      <c r="C6" s="4">
        <v>169.37100000000001</v>
      </c>
      <c r="D6" s="4">
        <v>169.59899999999999</v>
      </c>
      <c r="E6" s="4">
        <v>170.071</v>
      </c>
      <c r="F6" s="4">
        <v>170.70500000000001</v>
      </c>
      <c r="G6" s="4">
        <v>170.934</v>
      </c>
      <c r="H6" s="4">
        <v>171.268</v>
      </c>
      <c r="I6" s="4">
        <v>171.465</v>
      </c>
      <c r="J6" s="4">
        <v>171.60499999999999</v>
      </c>
      <c r="K6" s="4">
        <v>172.018</v>
      </c>
      <c r="L6" s="4">
        <v>172.44399999999999</v>
      </c>
      <c r="M6" s="4">
        <v>173.26599999999999</v>
      </c>
      <c r="N6" s="4">
        <v>169.95</v>
      </c>
      <c r="O6" s="4">
        <v>172.011</v>
      </c>
      <c r="P6" s="5">
        <f t="shared" si="0"/>
        <v>170.98058333333333</v>
      </c>
    </row>
    <row r="7" spans="1:18" x14ac:dyDescent="0.2">
      <c r="A7" s="3">
        <v>2019</v>
      </c>
      <c r="B7" s="4">
        <v>173.624</v>
      </c>
      <c r="C7" s="4">
        <v>174.15100000000001</v>
      </c>
      <c r="D7" s="4">
        <v>174.39500000000001</v>
      </c>
      <c r="E7" s="4">
        <v>175.083</v>
      </c>
      <c r="F7" s="4">
        <v>175.517</v>
      </c>
      <c r="G7" s="4">
        <v>176.49299999999999</v>
      </c>
      <c r="H7" s="4">
        <v>176.83199999999999</v>
      </c>
      <c r="I7" s="4">
        <v>177.26300000000001</v>
      </c>
      <c r="J7" s="4">
        <v>177.74299999999999</v>
      </c>
      <c r="K7" s="4">
        <v>178.11699999999999</v>
      </c>
      <c r="L7" s="4">
        <v>178.58500000000001</v>
      </c>
      <c r="M7" s="4">
        <v>178.98099999999999</v>
      </c>
      <c r="N7" s="4">
        <v>174.87700000000001</v>
      </c>
      <c r="O7" s="4">
        <v>177.92</v>
      </c>
      <c r="P7" s="5">
        <f t="shared" si="0"/>
        <v>176.39866666666663</v>
      </c>
    </row>
    <row r="8" spans="1:18" x14ac:dyDescent="0.2">
      <c r="A8" s="3">
        <v>2020</v>
      </c>
      <c r="B8" s="4">
        <v>179.613</v>
      </c>
      <c r="C8" s="4">
        <v>180.011</v>
      </c>
      <c r="D8" s="4">
        <v>179.94</v>
      </c>
      <c r="E8" s="4">
        <v>179.35900000000001</v>
      </c>
      <c r="F8" s="4">
        <v>179.72</v>
      </c>
      <c r="G8" s="4">
        <v>181.27600000000001</v>
      </c>
      <c r="H8" s="4">
        <v>182.035</v>
      </c>
      <c r="I8" s="4">
        <v>182.16200000000001</v>
      </c>
      <c r="J8" s="4">
        <v>182.63800000000001</v>
      </c>
      <c r="K8" s="4">
        <v>183.17699999999999</v>
      </c>
      <c r="L8" s="4">
        <v>183.79400000000001</v>
      </c>
      <c r="M8" s="4">
        <v>184.31399999999999</v>
      </c>
      <c r="N8" s="4">
        <v>179.98699999999999</v>
      </c>
      <c r="O8" s="4">
        <v>183.02</v>
      </c>
      <c r="P8" s="5">
        <f t="shared" si="0"/>
        <v>181.50325000000001</v>
      </c>
    </row>
    <row r="9" spans="1:18" x14ac:dyDescent="0.2">
      <c r="A9" s="3">
        <v>2021</v>
      </c>
      <c r="B9" s="4">
        <v>184.77600000000001</v>
      </c>
      <c r="C9" s="4">
        <v>185.256</v>
      </c>
      <c r="D9" s="4">
        <v>185.703</v>
      </c>
      <c r="E9" s="4">
        <v>186.07599999999999</v>
      </c>
      <c r="F9" s="4">
        <v>187.15600000000001</v>
      </c>
      <c r="G9" s="4">
        <v>188.74299999999999</v>
      </c>
      <c r="H9" s="4">
        <v>189.86199999999999</v>
      </c>
      <c r="I9" s="4">
        <v>191.071</v>
      </c>
      <c r="J9" s="4">
        <v>192.203</v>
      </c>
      <c r="K9" s="4">
        <v>194.00299999999999</v>
      </c>
      <c r="L9" s="4">
        <v>194.875</v>
      </c>
      <c r="M9" s="4">
        <v>196.44900000000001</v>
      </c>
      <c r="N9" s="4">
        <v>186.285</v>
      </c>
      <c r="O9" s="4">
        <v>193.077</v>
      </c>
      <c r="P9" s="5">
        <f t="shared" si="0"/>
        <v>189.68108333333336</v>
      </c>
    </row>
    <row r="10" spans="1:18" x14ac:dyDescent="0.2">
      <c r="A10" s="3">
        <v>2022</v>
      </c>
      <c r="B10" s="4">
        <v>197.80799999999999</v>
      </c>
      <c r="C10" s="4">
        <v>199.077</v>
      </c>
      <c r="D10" s="4">
        <v>200.49600000000001</v>
      </c>
      <c r="E10" s="4">
        <v>202.346</v>
      </c>
      <c r="F10" s="4">
        <v>203.95400000000001</v>
      </c>
      <c r="G10" s="4">
        <v>205.58099999999999</v>
      </c>
      <c r="H10" s="4">
        <v>206.732</v>
      </c>
      <c r="I10" s="4">
        <v>208.3</v>
      </c>
      <c r="J10" s="4">
        <v>209.21100000000001</v>
      </c>
      <c r="K10" s="4">
        <v>211.417</v>
      </c>
      <c r="L10" s="4">
        <v>212.346</v>
      </c>
      <c r="M10" s="4">
        <v>212.62799999999999</v>
      </c>
      <c r="N10" s="4">
        <v>201.54400000000001</v>
      </c>
      <c r="O10" s="4">
        <v>210.10599999999999</v>
      </c>
      <c r="P10" s="5">
        <f t="shared" si="0"/>
        <v>205.82466666666667</v>
      </c>
    </row>
    <row r="11" spans="1:18" x14ac:dyDescent="0.2">
      <c r="A11" s="3">
        <v>2023</v>
      </c>
      <c r="B11" s="4">
        <v>213.792</v>
      </c>
      <c r="C11" s="4">
        <v>214.99600000000001</v>
      </c>
      <c r="D11" s="4">
        <v>216.55799999999999</v>
      </c>
      <c r="E11" s="4">
        <v>216.852</v>
      </c>
      <c r="F11" s="4">
        <v>217.744</v>
      </c>
      <c r="G11" s="4">
        <v>218.30099999999999</v>
      </c>
      <c r="H11" s="4">
        <v>218.655</v>
      </c>
      <c r="I11" s="4">
        <v>219.09700000000001</v>
      </c>
      <c r="J11" s="4">
        <v>219.91800000000001</v>
      </c>
      <c r="K11" s="4">
        <v>220.572</v>
      </c>
      <c r="L11" s="4">
        <v>221.57400000000001</v>
      </c>
      <c r="M11" s="4">
        <v>222.17500000000001</v>
      </c>
      <c r="N11" s="4">
        <v>216.374</v>
      </c>
      <c r="O11" s="4">
        <v>220.33199999999999</v>
      </c>
      <c r="P11" s="5">
        <f t="shared" si="0"/>
        <v>218.35283333333336</v>
      </c>
    </row>
    <row r="12" spans="1:18" x14ac:dyDescent="0.2">
      <c r="A12" s="3">
        <v>2024</v>
      </c>
      <c r="B12" s="4">
        <v>222.98099999999999</v>
      </c>
      <c r="C12" s="4">
        <v>223.137</v>
      </c>
      <c r="D12" s="4">
        <v>223.589</v>
      </c>
      <c r="E12" s="4">
        <v>224.29400000000001</v>
      </c>
      <c r="F12" s="4">
        <v>225.29</v>
      </c>
      <c r="G12" s="4">
        <v>226.75399999999999</v>
      </c>
      <c r="H12" s="4">
        <v>227.02099999999999</v>
      </c>
      <c r="I12" s="4">
        <v>227.488</v>
      </c>
      <c r="J12" s="4">
        <v>228.38900000000001</v>
      </c>
      <c r="K12" s="4">
        <v>228.839</v>
      </c>
      <c r="L12" s="4">
        <v>229.554</v>
      </c>
      <c r="N12" s="4">
        <v>224.34100000000001</v>
      </c>
      <c r="P12" s="5">
        <f t="shared" si="0"/>
        <v>226.12145454545453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7176-1D9D-CD4C-A062-C9F7C67FAA35}">
  <dimension ref="A1:R12"/>
  <sheetViews>
    <sheetView workbookViewId="0">
      <selection activeCell="H13" sqref="H13"/>
    </sheetView>
  </sheetViews>
  <sheetFormatPr baseColWidth="10" defaultRowHeight="16" x14ac:dyDescent="0.2"/>
  <cols>
    <col min="16" max="16" width="10.33203125" customWidth="1"/>
  </cols>
  <sheetData>
    <row r="1" spans="1:18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18</v>
      </c>
      <c r="Q1" s="2" t="s">
        <v>19</v>
      </c>
      <c r="R1" s="2" t="s">
        <v>20</v>
      </c>
    </row>
    <row r="2" spans="1:18" ht="17" thickTop="1" x14ac:dyDescent="0.2">
      <c r="A2" s="3">
        <v>2014</v>
      </c>
      <c r="B2" s="4">
        <v>240.15799999999999</v>
      </c>
      <c r="C2" s="4">
        <v>242.386</v>
      </c>
      <c r="D2" s="4">
        <v>245.30099999999999</v>
      </c>
      <c r="E2" s="4">
        <v>249.29</v>
      </c>
      <c r="F2" s="4">
        <v>251.82499999999999</v>
      </c>
      <c r="G2" s="4">
        <v>252.86500000000001</v>
      </c>
      <c r="H2" s="4">
        <v>253.767</v>
      </c>
      <c r="I2" s="4">
        <v>258.416</v>
      </c>
      <c r="J2" s="4">
        <v>260.80500000000001</v>
      </c>
      <c r="K2" s="4">
        <v>259.83999999999997</v>
      </c>
      <c r="L2" s="4">
        <v>260.45699999999999</v>
      </c>
      <c r="M2" s="4">
        <v>261.05500000000001</v>
      </c>
      <c r="P2" s="5">
        <f>AVERAGE(B2,M2)</f>
        <v>250.60649999999998</v>
      </c>
      <c r="Q2" s="6">
        <f>P12-P2</f>
        <v>69.145500000000027</v>
      </c>
      <c r="R2" s="7">
        <f>Q2/P2</f>
        <v>0.2759126359451971</v>
      </c>
    </row>
    <row r="3" spans="1:18" x14ac:dyDescent="0.2">
      <c r="A3" s="3">
        <v>2015</v>
      </c>
      <c r="B3" s="4">
        <v>260.98200000000003</v>
      </c>
      <c r="C3" s="4">
        <v>260.863</v>
      </c>
      <c r="D3" s="4">
        <v>260.077</v>
      </c>
      <c r="E3" s="4">
        <v>258.99099999999999</v>
      </c>
      <c r="F3" s="4">
        <v>257.10599999999999</v>
      </c>
      <c r="G3" s="4">
        <v>261.18900000000002</v>
      </c>
      <c r="H3" s="4">
        <v>261.63900000000001</v>
      </c>
      <c r="I3" s="4">
        <v>263.601</v>
      </c>
      <c r="J3" s="4">
        <v>263.22699999999998</v>
      </c>
      <c r="K3" s="4">
        <v>261.56799999999998</v>
      </c>
      <c r="L3" s="4">
        <v>259.14100000000002</v>
      </c>
      <c r="M3" s="4">
        <v>255.298</v>
      </c>
      <c r="P3" s="5">
        <f t="shared" ref="P3:P12" si="0">AVERAGE(B3,M3)</f>
        <v>258.14</v>
      </c>
    </row>
    <row r="4" spans="1:18" x14ac:dyDescent="0.2">
      <c r="A4" s="3">
        <v>2016</v>
      </c>
      <c r="B4" s="4">
        <v>251.78299999999999</v>
      </c>
      <c r="C4" s="4">
        <v>251.29</v>
      </c>
      <c r="D4" s="4">
        <v>250.83699999999999</v>
      </c>
      <c r="E4" s="4">
        <v>250.839</v>
      </c>
      <c r="F4" s="4">
        <v>248.989</v>
      </c>
      <c r="G4" s="4">
        <v>248.01599999999999</v>
      </c>
      <c r="H4" s="4">
        <v>246.875</v>
      </c>
      <c r="I4" s="4">
        <v>246.547</v>
      </c>
      <c r="J4" s="4">
        <v>246.642</v>
      </c>
      <c r="K4" s="4">
        <v>244.77</v>
      </c>
      <c r="L4" s="4">
        <v>243.63300000000001</v>
      </c>
      <c r="M4" s="4">
        <v>241.61199999999999</v>
      </c>
      <c r="P4" s="5">
        <f t="shared" si="0"/>
        <v>246.69749999999999</v>
      </c>
    </row>
    <row r="5" spans="1:18" x14ac:dyDescent="0.2">
      <c r="A5" s="3">
        <v>2017</v>
      </c>
      <c r="B5" s="4">
        <v>242.596</v>
      </c>
      <c r="C5" s="4">
        <v>243.05699999999999</v>
      </c>
      <c r="D5" s="4">
        <v>244.30600000000001</v>
      </c>
      <c r="E5" s="4">
        <v>243.33</v>
      </c>
      <c r="F5" s="4">
        <v>243.815</v>
      </c>
      <c r="G5" s="4">
        <v>245.756</v>
      </c>
      <c r="H5" s="4">
        <v>247.761</v>
      </c>
      <c r="I5" s="4">
        <v>247.98500000000001</v>
      </c>
      <c r="J5" s="4">
        <v>247.613</v>
      </c>
      <c r="K5" s="4">
        <v>248.41300000000001</v>
      </c>
      <c r="L5" s="4">
        <v>247.02699999999999</v>
      </c>
      <c r="M5" s="4">
        <v>248.42</v>
      </c>
      <c r="P5" s="5">
        <f t="shared" si="0"/>
        <v>245.50799999999998</v>
      </c>
    </row>
    <row r="6" spans="1:18" x14ac:dyDescent="0.2">
      <c r="A6" s="3">
        <v>2018</v>
      </c>
      <c r="B6" s="4">
        <v>247.28399999999999</v>
      </c>
      <c r="C6" s="4">
        <v>247.095</v>
      </c>
      <c r="D6" s="4">
        <v>249.51599999999999</v>
      </c>
      <c r="E6" s="4">
        <v>251.922</v>
      </c>
      <c r="F6" s="4">
        <v>249.44900000000001</v>
      </c>
      <c r="G6" s="4">
        <v>248.60900000000001</v>
      </c>
      <c r="H6" s="4">
        <v>250.042</v>
      </c>
      <c r="I6" s="4">
        <v>250.74299999999999</v>
      </c>
      <c r="J6" s="4">
        <v>248.876</v>
      </c>
      <c r="K6" s="4">
        <v>247.96600000000001</v>
      </c>
      <c r="L6" s="4">
        <v>247.95400000000001</v>
      </c>
      <c r="M6" s="4">
        <v>247.327</v>
      </c>
      <c r="N6" s="4">
        <v>248.97900000000001</v>
      </c>
      <c r="O6" s="4">
        <v>248.81800000000001</v>
      </c>
      <c r="P6" s="5">
        <f t="shared" si="0"/>
        <v>247.30549999999999</v>
      </c>
    </row>
    <row r="7" spans="1:18" x14ac:dyDescent="0.2">
      <c r="A7" s="3">
        <v>2019</v>
      </c>
      <c r="B7" s="4">
        <v>248.16900000000001</v>
      </c>
      <c r="C7" s="4">
        <v>248.59700000000001</v>
      </c>
      <c r="D7" s="4">
        <v>249.06200000000001</v>
      </c>
      <c r="E7" s="4">
        <v>249.203</v>
      </c>
      <c r="F7" s="4">
        <v>250.35599999999999</v>
      </c>
      <c r="G7" s="4">
        <v>249.23099999999999</v>
      </c>
      <c r="H7" s="4">
        <v>250.03299999999999</v>
      </c>
      <c r="I7" s="4">
        <v>249.27699999999999</v>
      </c>
      <c r="J7" s="4">
        <v>249.74</v>
      </c>
      <c r="K7" s="4">
        <v>250.59200000000001</v>
      </c>
      <c r="L7" s="4">
        <v>250.49100000000001</v>
      </c>
      <c r="M7" s="4">
        <v>252.893</v>
      </c>
      <c r="N7" s="4">
        <v>249.10300000000001</v>
      </c>
      <c r="O7" s="4">
        <v>250.50399999999999</v>
      </c>
      <c r="P7" s="5">
        <f t="shared" si="0"/>
        <v>250.53100000000001</v>
      </c>
    </row>
    <row r="8" spans="1:18" x14ac:dyDescent="0.2">
      <c r="A8" s="3">
        <v>2020</v>
      </c>
      <c r="B8" s="4">
        <v>252.905</v>
      </c>
      <c r="C8" s="4">
        <v>253.39599999999999</v>
      </c>
      <c r="D8" s="4">
        <v>254.72399999999999</v>
      </c>
      <c r="E8" s="4">
        <v>266.26299999999998</v>
      </c>
      <c r="F8" s="4">
        <v>275.40499999999997</v>
      </c>
      <c r="G8" s="4">
        <v>281.13900000000001</v>
      </c>
      <c r="H8" s="4">
        <v>271.02800000000002</v>
      </c>
      <c r="I8" s="4">
        <v>266.96899999999999</v>
      </c>
      <c r="J8" s="4">
        <v>265.38600000000002</v>
      </c>
      <c r="K8" s="4">
        <v>265.79599999999999</v>
      </c>
      <c r="L8" s="4">
        <v>265.30700000000002</v>
      </c>
      <c r="M8" s="4">
        <v>264.47500000000002</v>
      </c>
      <c r="N8" s="4">
        <v>263.97199999999998</v>
      </c>
      <c r="O8" s="4">
        <v>266.49400000000003</v>
      </c>
      <c r="P8" s="5">
        <f t="shared" si="0"/>
        <v>258.69</v>
      </c>
    </row>
    <row r="9" spans="1:18" x14ac:dyDescent="0.2">
      <c r="A9" s="3">
        <v>2021</v>
      </c>
      <c r="B9" s="4">
        <v>265.92200000000003</v>
      </c>
      <c r="C9" s="4">
        <v>266.60599999999999</v>
      </c>
      <c r="D9" s="4">
        <v>268.45699999999999</v>
      </c>
      <c r="E9" s="4">
        <v>271.459</v>
      </c>
      <c r="F9" s="4">
        <v>275.77600000000001</v>
      </c>
      <c r="G9" s="4">
        <v>282.99299999999999</v>
      </c>
      <c r="H9" s="4">
        <v>286.99400000000003</v>
      </c>
      <c r="I9" s="4">
        <v>288.36700000000002</v>
      </c>
      <c r="J9" s="4">
        <v>293.21699999999998</v>
      </c>
      <c r="K9" s="4">
        <v>297.37700000000001</v>
      </c>
      <c r="L9" s="4">
        <v>299.22800000000001</v>
      </c>
      <c r="M9" s="4">
        <v>297.60399999999998</v>
      </c>
      <c r="N9" s="4">
        <v>271.86900000000003</v>
      </c>
      <c r="O9" s="4">
        <v>293.798</v>
      </c>
      <c r="P9" s="5">
        <f t="shared" si="0"/>
        <v>281.76300000000003</v>
      </c>
    </row>
    <row r="10" spans="1:18" x14ac:dyDescent="0.2">
      <c r="A10" s="3">
        <v>2022</v>
      </c>
      <c r="B10" s="4">
        <v>298.44099999999997</v>
      </c>
      <c r="C10" s="4">
        <v>301.24</v>
      </c>
      <c r="D10" s="4">
        <v>305.11599999999999</v>
      </c>
      <c r="E10" s="4">
        <v>310.399</v>
      </c>
      <c r="F10" s="4">
        <v>314.92899999999997</v>
      </c>
      <c r="G10" s="4">
        <v>316.11</v>
      </c>
      <c r="H10" s="4">
        <v>318.14100000000002</v>
      </c>
      <c r="I10" s="4">
        <v>318.86700000000002</v>
      </c>
      <c r="J10" s="4">
        <v>319.48599999999999</v>
      </c>
      <c r="K10" s="4">
        <v>321.27100000000002</v>
      </c>
      <c r="L10" s="4">
        <v>319.44400000000002</v>
      </c>
      <c r="M10" s="4">
        <v>320.45499999999998</v>
      </c>
      <c r="N10" s="4">
        <v>307.70600000000002</v>
      </c>
      <c r="O10" s="4">
        <v>319.61099999999999</v>
      </c>
      <c r="P10" s="5">
        <f t="shared" si="0"/>
        <v>309.44799999999998</v>
      </c>
    </row>
    <row r="11" spans="1:18" x14ac:dyDescent="0.2">
      <c r="A11" s="3">
        <v>2023</v>
      </c>
      <c r="B11" s="4">
        <v>322.73700000000002</v>
      </c>
      <c r="C11" s="4">
        <v>321.803</v>
      </c>
      <c r="D11" s="4">
        <v>318.30599999999998</v>
      </c>
      <c r="E11" s="4">
        <v>318.99599999999998</v>
      </c>
      <c r="F11" s="4">
        <v>315.96800000000002</v>
      </c>
      <c r="G11" s="4">
        <v>315.56099999999998</v>
      </c>
      <c r="H11" s="4">
        <v>317.44499999999999</v>
      </c>
      <c r="I11" s="4">
        <v>318.94400000000002</v>
      </c>
      <c r="J11" s="4">
        <v>320.14</v>
      </c>
      <c r="K11" s="4">
        <v>322.536</v>
      </c>
      <c r="L11" s="4">
        <v>319.86</v>
      </c>
      <c r="M11" s="4">
        <v>320.14299999999997</v>
      </c>
      <c r="N11" s="4">
        <v>318.89499999999998</v>
      </c>
      <c r="O11" s="4">
        <v>319.84500000000003</v>
      </c>
      <c r="P11" s="5">
        <f t="shared" si="0"/>
        <v>321.44</v>
      </c>
    </row>
    <row r="12" spans="1:18" x14ac:dyDescent="0.2">
      <c r="A12" s="3">
        <v>2024</v>
      </c>
      <c r="B12" s="4">
        <v>319.75200000000001</v>
      </c>
      <c r="C12" s="4">
        <v>320.096</v>
      </c>
      <c r="D12" s="4">
        <v>322.589</v>
      </c>
      <c r="E12" s="4">
        <v>322.32299999999998</v>
      </c>
      <c r="F12" s="4">
        <v>323.41399999999999</v>
      </c>
      <c r="G12" s="4">
        <v>323.84800000000001</v>
      </c>
      <c r="H12" s="4">
        <v>327.01299999999998</v>
      </c>
      <c r="I12" s="4">
        <v>329.108</v>
      </c>
      <c r="J12" s="4">
        <v>332.52499999999998</v>
      </c>
      <c r="K12" s="4">
        <v>328.74299999999999</v>
      </c>
      <c r="L12" s="4">
        <v>331.976</v>
      </c>
      <c r="N12" s="4">
        <v>322.00400000000002</v>
      </c>
      <c r="P12" s="5">
        <f t="shared" si="0"/>
        <v>319.75200000000001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Summary_plot</vt:lpstr>
      <vt:lpstr>Gas</vt:lpstr>
      <vt:lpstr>Cereals&amp;Bakery</vt:lpstr>
      <vt:lpstr>NonAlcoholic</vt:lpstr>
      <vt:lpstr>Dairy</vt:lpstr>
      <vt:lpstr>Limited Time Service Meal</vt:lpstr>
      <vt:lpstr>Other Food</vt:lpstr>
      <vt:lpstr>Food&amp;Beverage</vt:lpstr>
      <vt:lpstr>Food at Home</vt:lpstr>
      <vt:lpstr>Fruits&amp;Veg</vt:lpstr>
      <vt:lpstr>Food Away from Home</vt:lpstr>
      <vt:lpstr>Full Service Meal</vt:lpstr>
      <vt:lpstr>Meat&amp;Poultry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 Jindal</dc:creator>
  <cp:lastModifiedBy>Pratima Jindal</cp:lastModifiedBy>
  <dcterms:created xsi:type="dcterms:W3CDTF">2024-12-30T17:48:37Z</dcterms:created>
  <dcterms:modified xsi:type="dcterms:W3CDTF">2025-02-07T23:09:16Z</dcterms:modified>
</cp:coreProperties>
</file>